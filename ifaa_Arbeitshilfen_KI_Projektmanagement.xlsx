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T:\Bereichsübergreifende Information\Website\Websiteinhalte\Angebote und Produkte\Checklisten Handlungshilfen\UE_CHE_AH_KI_PM\"/>
    </mc:Choice>
  </mc:AlternateContent>
  <xr:revisionPtr revIDLastSave="0" documentId="8_{C5D843BA-106E-404F-9DDF-BF76E781E135}" xr6:coauthVersionLast="47" xr6:coauthVersionMax="47" xr10:uidLastSave="{00000000-0000-0000-0000-000000000000}"/>
  <workbookProtection workbookAlgorithmName="SHA-512" workbookHashValue="GrtDjNzLFXUNr+N3zf17N+JXV16Bjgaz7QORfwxESCxhN/tvK7IRdwRagy2hjpGWikwED0J0eDdlE5XSZ0a+xw==" workbookSaltValue="4UmzZCkg0f6Dq+/ZiJXJxw==" workbookSpinCount="100000" lockStructure="1"/>
  <bookViews>
    <workbookView xWindow="-120" yWindow="480" windowWidth="29040" windowHeight="15840" xr2:uid="{BCF6EE18-7888-435E-A6B0-308A68D87969}"/>
  </bookViews>
  <sheets>
    <sheet name="Ü" sheetId="14" r:id="rId1"/>
    <sheet name="1-0" sheetId="30" r:id="rId2"/>
    <sheet name="1-1" sheetId="42" r:id="rId3"/>
    <sheet name="1-2" sheetId="32" r:id="rId4"/>
    <sheet name="2-1" sheetId="43" r:id="rId5"/>
    <sheet name="2-2" sheetId="49" r:id="rId6"/>
    <sheet name="2-3" sheetId="53" r:id="rId7"/>
    <sheet name="3-1" sheetId="56" r:id="rId8"/>
    <sheet name="3-2" sheetId="41" r:id="rId9"/>
    <sheet name="3-3" sheetId="60" r:id="rId10"/>
    <sheet name="4-1" sheetId="63" r:id="rId11"/>
    <sheet name="4-2" sheetId="67" r:id="rId12"/>
    <sheet name="4-3" sheetId="69" r:id="rId13"/>
    <sheet name="5-1" sheetId="61" r:id="rId14"/>
    <sheet name="5-2" sheetId="54" r:id="rId15"/>
    <sheet name="5-3" sheetId="62" r:id="rId16"/>
    <sheet name="B1-0" sheetId="45" r:id="rId17"/>
    <sheet name="B1-1" sheetId="46" r:id="rId18"/>
    <sheet name="B1-2" sheetId="47" r:id="rId19"/>
    <sheet name="B2-1" sheetId="48" r:id="rId20"/>
    <sheet name="B2-2" sheetId="50" r:id="rId21"/>
    <sheet name="B2-3" sheetId="52" r:id="rId22"/>
    <sheet name="B3-1" sheetId="57" r:id="rId23"/>
    <sheet name="B3-2" sheetId="58" r:id="rId24"/>
    <sheet name="B3-3" sheetId="71" r:id="rId25"/>
    <sheet name="B4-1" sheetId="64" r:id="rId26"/>
    <sheet name="B4-2" sheetId="66" r:id="rId27"/>
    <sheet name="B4-3" sheetId="68" r:id="rId28"/>
    <sheet name="B5-1" sheetId="65" r:id="rId29"/>
    <sheet name="B5-2" sheetId="55" r:id="rId30"/>
    <sheet name="B5-3" sheetId="70" r:id="rId31"/>
  </sheets>
  <definedNames>
    <definedName name="_xlnm.Print_Area" localSheetId="1">'1-0'!$A$1:$H$26</definedName>
    <definedName name="_xlnm.Print_Area" localSheetId="2">'1-1'!$A$2:$M$117</definedName>
    <definedName name="_xlnm.Print_Area" localSheetId="8">'3-2'!$A$2:$N$117</definedName>
    <definedName name="_xlnm.Print_Area" localSheetId="16">'B1-0'!$A$3:$H$22</definedName>
    <definedName name="_xlnm.Print_Area" localSheetId="17">'B1-1'!$A$4:$I$116</definedName>
    <definedName name="_xlnm.Print_Area" localSheetId="23">'B3-2'!$A$2:$K$116</definedName>
    <definedName name="_xlnm.Print_Area" localSheetId="0">Ü!$A$1:$O$27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55" l="1"/>
  <c r="I13" i="55"/>
  <c r="I12" i="55"/>
  <c r="I10" i="55"/>
  <c r="H10" i="55"/>
  <c r="G10" i="55"/>
  <c r="I23" i="55"/>
  <c r="I22" i="55"/>
  <c r="J13" i="49"/>
  <c r="J14" i="49" s="1"/>
  <c r="J15" i="49" s="1"/>
  <c r="J16" i="49" s="1"/>
  <c r="J17" i="49" s="1"/>
  <c r="J18" i="49" s="1"/>
  <c r="J19" i="49" s="1"/>
  <c r="J20" i="49" s="1"/>
  <c r="J21" i="49" s="1"/>
  <c r="J22" i="49" s="1"/>
  <c r="J23" i="49" s="1"/>
  <c r="J24" i="49" s="1"/>
  <c r="J25" i="49" s="1"/>
  <c r="J26" i="49" s="1"/>
  <c r="B13" i="49"/>
  <c r="B14" i="49" s="1"/>
  <c r="B15" i="49" s="1"/>
  <c r="B16" i="49" s="1"/>
  <c r="B17" i="49" s="1"/>
  <c r="B18" i="49" s="1"/>
  <c r="B19" i="49" s="1"/>
  <c r="B20" i="49" s="1"/>
  <c r="B21" i="49" s="1"/>
  <c r="B22" i="49" s="1"/>
  <c r="B23" i="49" s="1"/>
  <c r="B24" i="49" s="1"/>
  <c r="B25" i="49" s="1"/>
  <c r="B26" i="49" s="1"/>
  <c r="O20" i="71"/>
  <c r="O21" i="71"/>
  <c r="O22" i="71"/>
  <c r="O19" i="71"/>
  <c r="O18" i="71"/>
  <c r="O17" i="71"/>
  <c r="S15" i="70"/>
  <c r="B12" i="61"/>
  <c r="B13" i="61" s="1"/>
  <c r="B14" i="61" s="1"/>
  <c r="B15" i="61" s="1"/>
  <c r="B16" i="61" s="1"/>
  <c r="B17" i="61" s="1"/>
  <c r="B18" i="61" s="1"/>
  <c r="B19" i="61" s="1"/>
  <c r="B20" i="61" s="1"/>
  <c r="B11" i="65"/>
  <c r="B12" i="65" s="1"/>
  <c r="B13" i="65" s="1"/>
  <c r="B14" i="65" s="1"/>
  <c r="B15" i="65" s="1"/>
  <c r="B16" i="65" s="1"/>
  <c r="B17" i="65" s="1"/>
  <c r="B18" i="65" s="1"/>
  <c r="B19" i="65" s="1"/>
  <c r="N37" i="41"/>
  <c r="K36" i="58"/>
  <c r="I16" i="55"/>
  <c r="I15" i="55"/>
  <c r="I29" i="52"/>
  <c r="I27" i="52"/>
  <c r="I25" i="52"/>
  <c r="I23" i="52"/>
  <c r="I21" i="52"/>
  <c r="I19" i="52"/>
  <c r="I17" i="52"/>
  <c r="I15" i="52"/>
  <c r="I13" i="52"/>
  <c r="I11" i="52"/>
  <c r="M27" i="50"/>
  <c r="E27" i="50"/>
  <c r="J13" i="50"/>
  <c r="J14" i="50" s="1"/>
  <c r="J15" i="50" s="1"/>
  <c r="J16" i="50" s="1"/>
  <c r="J17" i="50" s="1"/>
  <c r="J18" i="50" s="1"/>
  <c r="J19" i="50" s="1"/>
  <c r="J20" i="50" s="1"/>
  <c r="J21" i="50" s="1"/>
  <c r="J22" i="50" s="1"/>
  <c r="J23" i="50" s="1"/>
  <c r="J24" i="50" s="1"/>
  <c r="J25" i="50" s="1"/>
  <c r="J26" i="50" s="1"/>
  <c r="B13" i="50"/>
  <c r="B14" i="50" s="1"/>
  <c r="B15" i="50" s="1"/>
  <c r="B16" i="50" s="1"/>
  <c r="B17" i="50" s="1"/>
  <c r="B18" i="50" s="1"/>
  <c r="B19" i="50" s="1"/>
  <c r="B20" i="50" s="1"/>
  <c r="B21" i="50" s="1"/>
  <c r="B22" i="50" s="1"/>
  <c r="B23" i="50" s="1"/>
  <c r="B24" i="50" s="1"/>
  <c r="B25" i="50" s="1"/>
  <c r="B26" i="50" s="1"/>
  <c r="B13" i="43"/>
  <c r="B14" i="43" s="1"/>
  <c r="B15" i="43" s="1"/>
  <c r="B16" i="43" s="1"/>
  <c r="B17" i="43" s="1"/>
  <c r="B18" i="43" s="1"/>
  <c r="B19" i="43" s="1"/>
  <c r="B20" i="43" s="1"/>
  <c r="B12" i="43"/>
  <c r="B11" i="48"/>
  <c r="B12" i="48" s="1"/>
  <c r="B13" i="48" s="1"/>
  <c r="B14" i="48" s="1"/>
  <c r="B15" i="48" s="1"/>
  <c r="B16" i="48" s="1"/>
  <c r="B17" i="48" s="1"/>
  <c r="B18" i="48" s="1"/>
  <c r="B19" i="48" s="1"/>
  <c r="B22" i="30"/>
  <c r="B23" i="30" s="1"/>
  <c r="B24" i="30" s="1"/>
  <c r="B25" i="30" s="1"/>
  <c r="B20" i="45"/>
  <c r="B21" i="45" s="1"/>
  <c r="B10" i="45"/>
  <c r="B11" i="45" s="1"/>
  <c r="B12" i="45" s="1"/>
  <c r="B13" i="45" s="1"/>
  <c r="B14" i="45" s="1"/>
  <c r="B15" i="45" s="1"/>
  <c r="B16" i="45" s="1"/>
  <c r="B10" i="30"/>
  <c r="B11" i="30" s="1"/>
  <c r="B12" i="30" s="1"/>
  <c r="B13" i="30" s="1"/>
  <c r="B14" i="30" s="1"/>
  <c r="B15" i="30" s="1"/>
  <c r="B16" i="30" s="1"/>
  <c r="B17" i="30" s="1"/>
  <c r="B18" i="3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33E145-5402-4357-86AC-5FA2FD0F6A20}" keepAlive="1" name="Abfrage - Tabelle2" description="Verbindung mit der Abfrage 'Tabelle2' in der Arbeitsmappe." type="5" refreshedVersion="0" background="1">
    <dbPr connection="Provider=Microsoft.Mashup.OleDb.1;Data Source=$Workbook$;Location=Tabelle2;Extended Properties=&quot;&quot;" command="SELECT * FROM [Tabelle2]"/>
  </connection>
</connections>
</file>

<file path=xl/sharedStrings.xml><?xml version="1.0" encoding="utf-8"?>
<sst xmlns="http://schemas.openxmlformats.org/spreadsheetml/2006/main" count="2200" uniqueCount="946">
  <si>
    <t>Arbeitshilfen zum KI-Projektmanagement</t>
  </si>
  <si>
    <t>Hilfsmittel zur bedarfsgerechten Auswahl und Einführung von KI-Awendungen in Unternehmen</t>
  </si>
  <si>
    <t>Übersicht KI-Arbeitshilfen</t>
  </si>
  <si>
    <t>Über die u.a. Buttons gelangen Sie zu:</t>
  </si>
  <si>
    <t xml:space="preserve"> Vorgehensmodell</t>
  </si>
  <si>
    <t>Nr.</t>
  </si>
  <si>
    <t>Bezeichnung</t>
  </si>
  <si>
    <t>Formular</t>
  </si>
  <si>
    <t>Beispiel</t>
  </si>
  <si>
    <t xml:space="preserve"> Phasen und Arbeitsschritte/Meilensteine der KI-Projektabwicklung</t>
  </si>
  <si>
    <t xml:space="preserve"> 1-0</t>
  </si>
  <si>
    <t>KI-Kernteam</t>
  </si>
  <si>
    <t xml:space="preserve"> 1-1</t>
  </si>
  <si>
    <t>KI-Bedarf und KI-Ansatz</t>
  </si>
  <si>
    <t xml:space="preserve"> 1-2</t>
  </si>
  <si>
    <t>KI-Ziele</t>
  </si>
  <si>
    <t xml:space="preserve"> 2-1</t>
  </si>
  <si>
    <t>KI-Möglichkeiten</t>
  </si>
  <si>
    <t xml:space="preserve"> 2-2</t>
  </si>
  <si>
    <t>KI-Potenziale</t>
  </si>
  <si>
    <t xml:space="preserve"> 2-3</t>
  </si>
  <si>
    <t>KI-Auswahl</t>
  </si>
  <si>
    <t xml:space="preserve"> 3-1</t>
  </si>
  <si>
    <t>KI-Anforderungen</t>
  </si>
  <si>
    <t xml:space="preserve"> 3-2</t>
  </si>
  <si>
    <t>KI-Machbarkeit</t>
  </si>
  <si>
    <t xml:space="preserve"> 3-3</t>
  </si>
  <si>
    <t>KI-Konzept</t>
  </si>
  <si>
    <t xml:space="preserve"> 4-1</t>
  </si>
  <si>
    <t>KI-Entwicklung</t>
  </si>
  <si>
    <t xml:space="preserve"> 4-2</t>
  </si>
  <si>
    <t>KI-Einführung</t>
  </si>
  <si>
    <t xml:space="preserve"> 4-3</t>
  </si>
  <si>
    <t>KI-Anwendung</t>
  </si>
  <si>
    <t xml:space="preserve"> 5-1</t>
  </si>
  <si>
    <t>KI-Anpassung</t>
  </si>
  <si>
    <t>Erstellt:</t>
  </si>
  <si>
    <t xml:space="preserve"> 5-2</t>
  </si>
  <si>
    <t>KI-Erfolg</t>
  </si>
  <si>
    <t>Dipl.-Wirt.Ing. Olaf Eisele</t>
  </si>
  <si>
    <t xml:space="preserve"> 5-3</t>
  </si>
  <si>
    <t>KI-Entscheidung</t>
  </si>
  <si>
    <t>ifaa - Institut für angewandte Arbeitswissenschaft e. V.</t>
  </si>
  <si>
    <t>Erfassung der Teammitglieder (Steuerkreis) und sonstige Mitwirkende</t>
  </si>
  <si>
    <t xml:space="preserve"> KI-Kernteam (Steuerkreis)</t>
  </si>
  <si>
    <t xml:space="preserve">Unternehmen: </t>
  </si>
  <si>
    <t xml:space="preserve">Leitung/Moderation:  </t>
  </si>
  <si>
    <t>Bereich/Abteilung</t>
  </si>
  <si>
    <t>Name</t>
  </si>
  <si>
    <t>Vorname</t>
  </si>
  <si>
    <t>Tel.</t>
  </si>
  <si>
    <t>E-Mail</t>
  </si>
  <si>
    <r>
      <t xml:space="preserve"> </t>
    </r>
    <r>
      <rPr>
        <b/>
        <sz val="14"/>
        <color theme="0"/>
        <rFont val="Arial"/>
        <family val="2"/>
      </rPr>
      <t>Sonstige Mitwirkende</t>
    </r>
    <r>
      <rPr>
        <sz val="14"/>
        <color theme="0"/>
        <rFont val="Arial"/>
        <family val="2"/>
      </rPr>
      <t xml:space="preserve"> (</t>
    </r>
    <r>
      <rPr>
        <sz val="11"/>
        <color theme="0"/>
        <rFont val="Arial"/>
        <family val="2"/>
      </rPr>
      <t xml:space="preserve">Akteure, die bedarfsabhängig hinzugezogen werden) </t>
    </r>
  </si>
  <si>
    <t>Unternehmen (extern)/Bereich (intern)</t>
  </si>
  <si>
    <t>Person</t>
  </si>
  <si>
    <t>Funktion</t>
  </si>
  <si>
    <t>Der KI-Bedarfscheck dient der qualitativen Bewertung von KI-Bedarfen und Festlegung des KI-Ansatzes im Unternehmen</t>
  </si>
  <si>
    <t xml:space="preserve">Datum: </t>
  </si>
  <si>
    <t>KI-Bedarf</t>
  </si>
  <si>
    <t>A</t>
  </si>
  <si>
    <t>Lern-/Wissensbedarf</t>
  </si>
  <si>
    <t>Wie kritisch schätzen Sie die aktuellen Wissenslücken über KI im Unternehmen ein?</t>
  </si>
  <si>
    <t>[   ]</t>
  </si>
  <si>
    <t>unkritisch = 0</t>
  </si>
  <si>
    <t>akzeptabel = 1</t>
  </si>
  <si>
    <t>kritisch = 2</t>
  </si>
  <si>
    <t>sehr kritisch = 3</t>
  </si>
  <si>
    <t xml:space="preserve">Wert: </t>
  </si>
  <si>
    <t>Wie schätzen Sie den Lernwunsch der Beschäftigten zu KI im Unternehmen ein?</t>
  </si>
  <si>
    <t>gering = 0</t>
  </si>
  <si>
    <t>mittel = 1</t>
  </si>
  <si>
    <t>hoch = 2</t>
  </si>
  <si>
    <t>sehr hoch = 3</t>
  </si>
  <si>
    <t>Wie schätzen Sie die Notwendigkeit und den Nutzen von KI-Lernprojekten in Ihrem Unternehmen ein?</t>
  </si>
  <si>
    <t>Bedarfswert:</t>
  </si>
  <si>
    <t>B</t>
  </si>
  <si>
    <t>Problemlösungsbedarf</t>
  </si>
  <si>
    <t>Wie schätzen Sie die Eignung von KI zur Lösung konkreter Probleme im Unternehmen ein?</t>
  </si>
  <si>
    <t>Wie gravierend schätzen Sie die konkreten Probleme im Unternehmen ein?</t>
  </si>
  <si>
    <t>Wie schätzen Sie das Verhältnis von Nutzen zu Aufwand bei einer Problemlösung mit KI ein?</t>
  </si>
  <si>
    <t>C</t>
  </si>
  <si>
    <t>Strategiebedarf</t>
  </si>
  <si>
    <t>Wie schätzen Sie die Bedeutung von KI für den zukünftigen Unternehmenerfolg ein?</t>
  </si>
  <si>
    <t>Wie schätzen Sie die aktuelle KI-Stärke (KI-Reifegrad) des Unternehmens?</t>
  </si>
  <si>
    <t>sehr hoch = 0</t>
  </si>
  <si>
    <t>gering = 2</t>
  </si>
  <si>
    <t>sehr gering = 3</t>
  </si>
  <si>
    <t xml:space="preserve">Wie bewerten Sie die vorhandenen strategischen Aktivitäten zu KI im Unternehmen? </t>
  </si>
  <si>
    <t>KI-Ansatz</t>
  </si>
  <si>
    <t xml:space="preserve">Entscheidung: </t>
  </si>
  <si>
    <t>□</t>
  </si>
  <si>
    <t>Keine KI-Aktivitäten erforderlich.</t>
  </si>
  <si>
    <t>Lernorientierter Ansatz: Realisierung KI in einem Pilotprojekt, um Wissen/Erfahrung aufzubauen.</t>
  </si>
  <si>
    <t>Problemorientierter Ansatz: Punktueller Einsatz von KI zur Lösung konkreter Problemstellungen.</t>
  </si>
  <si>
    <t>Strategieorientierter Ansatz: Entwicklung einer KI-Strategie mit KI-Projekten im gesamten Unternehmen.</t>
  </si>
  <si>
    <t>Festlegung von Zielen und deren Gewichtung für Einführung und Nutzung von KI im Unternehmen durch das KI-Kernteam</t>
  </si>
  <si>
    <r>
      <t xml:space="preserve"> </t>
    </r>
    <r>
      <rPr>
        <b/>
        <sz val="14"/>
        <color theme="0"/>
        <rFont val="Arial"/>
        <family val="2"/>
      </rPr>
      <t>KI-Ziele</t>
    </r>
    <r>
      <rPr>
        <sz val="12"/>
        <color theme="0"/>
        <rFont val="Arial"/>
        <family val="2"/>
      </rPr>
      <t xml:space="preserve"> - Festlegung von Zielen und deren Gewichtung für die Einführung und Nutzung von KI im Unternehmen</t>
    </r>
  </si>
  <si>
    <t>Zielaspekt</t>
  </si>
  <si>
    <t>Zielfeld</t>
  </si>
  <si>
    <t>Beschreibung Detailziele</t>
  </si>
  <si>
    <t>Leistungsindikator (Kennzahl)</t>
  </si>
  <si>
    <t>Gewichtung für KI-Bewertung</t>
  </si>
  <si>
    <t>sehr gering</t>
  </si>
  <si>
    <t>gering</t>
  </si>
  <si>
    <t>mittel</t>
  </si>
  <si>
    <t>hoch</t>
  </si>
  <si>
    <t>sehr hoch</t>
  </si>
  <si>
    <t>Wirtschaftlichkeit</t>
  </si>
  <si>
    <t>1.1</t>
  </si>
  <si>
    <t>1.1.1</t>
  </si>
  <si>
    <t>1.1.2</t>
  </si>
  <si>
    <t>1.1.3</t>
  </si>
  <si>
    <t>1.2</t>
  </si>
  <si>
    <t>1.2.1</t>
  </si>
  <si>
    <t>1.2.2</t>
  </si>
  <si>
    <t>1.2.3</t>
  </si>
  <si>
    <t>1.3</t>
  </si>
  <si>
    <t>1.3.1</t>
  </si>
  <si>
    <t>1.3.2</t>
  </si>
  <si>
    <t>1.3.3</t>
  </si>
  <si>
    <t>Umweltschutz</t>
  </si>
  <si>
    <t>2.1</t>
  </si>
  <si>
    <t>2.1.1</t>
  </si>
  <si>
    <t>2.1.2</t>
  </si>
  <si>
    <t>2.1.3</t>
  </si>
  <si>
    <t>2.2</t>
  </si>
  <si>
    <t>2.2.1</t>
  </si>
  <si>
    <t>2.2.2</t>
  </si>
  <si>
    <t>2.2.3</t>
  </si>
  <si>
    <t>2.3</t>
  </si>
  <si>
    <t>2.3.1</t>
  </si>
  <si>
    <t>2.3.2</t>
  </si>
  <si>
    <t>2.3.3</t>
  </si>
  <si>
    <t>Soziales</t>
  </si>
  <si>
    <t>3.1</t>
  </si>
  <si>
    <t>3.1.1</t>
  </si>
  <si>
    <t>3.1.2</t>
  </si>
  <si>
    <t>3.1.3</t>
  </si>
  <si>
    <t>3.2</t>
  </si>
  <si>
    <t>3.2.1</t>
  </si>
  <si>
    <t>3.2.2</t>
  </si>
  <si>
    <t>3.2.3</t>
  </si>
  <si>
    <t>3.3</t>
  </si>
  <si>
    <t>3.3.1</t>
  </si>
  <si>
    <t>3.3.2</t>
  </si>
  <si>
    <t>3.3.3</t>
  </si>
  <si>
    <t>Wissen &amp;Technik</t>
  </si>
  <si>
    <t>4.1</t>
  </si>
  <si>
    <t>4.1.1</t>
  </si>
  <si>
    <t>4.1.2</t>
  </si>
  <si>
    <t>4.1.3</t>
  </si>
  <si>
    <t>4.2</t>
  </si>
  <si>
    <t>4.2.1</t>
  </si>
  <si>
    <t>4.2.2</t>
  </si>
  <si>
    <t>4.2.3</t>
  </si>
  <si>
    <t>4.3</t>
  </si>
  <si>
    <t>4.3.1</t>
  </si>
  <si>
    <t>4.3.2</t>
  </si>
  <si>
    <t>4.3.3</t>
  </si>
  <si>
    <t>Sammlung von möglichen KI-Anwendungen und erste Grobeinschätzung im Unternehmen</t>
  </si>
  <si>
    <r>
      <rPr>
        <b/>
        <sz val="14"/>
        <color theme="0"/>
        <rFont val="Arial"/>
        <family val="2"/>
      </rPr>
      <t xml:space="preserve"> KI-Möglichkeiten</t>
    </r>
    <r>
      <rPr>
        <sz val="11"/>
        <color theme="0"/>
        <rFont val="Arial"/>
        <family val="2"/>
      </rPr>
      <t xml:space="preserve"> - Ideensammlung möglicher KI-Anwendungen im Unternehmen</t>
    </r>
  </si>
  <si>
    <t>Bereich</t>
  </si>
  <si>
    <t>Prozess/Vorgang/Aufgabe</t>
  </si>
  <si>
    <t>Kurzbeschreibung mögliche KI-Anwendung</t>
  </si>
  <si>
    <t>Beispiel verfügbar?</t>
  </si>
  <si>
    <t>Lieferant/ bekannt?</t>
  </si>
  <si>
    <t>Eignung für KI-Ansatz/-Ziele</t>
  </si>
  <si>
    <t>nein</t>
  </si>
  <si>
    <t>vielleicht</t>
  </si>
  <si>
    <t>ja</t>
  </si>
  <si>
    <t>KI-Potenzial</t>
  </si>
  <si>
    <t>Bewertung von Nutzen/Chancen und Aufwand Risiken von KI-Anwendungsmöglichkeiten</t>
  </si>
  <si>
    <r>
      <t xml:space="preserve"> </t>
    </r>
    <r>
      <rPr>
        <b/>
        <sz val="14"/>
        <color theme="0"/>
        <rFont val="Arial"/>
        <family val="2"/>
      </rPr>
      <t>KI-Potenzial</t>
    </r>
    <r>
      <rPr>
        <sz val="12"/>
        <color theme="0"/>
        <rFont val="Arial"/>
        <family val="2"/>
      </rPr>
      <t xml:space="preserve"> - Nutzen/Chance und Aufwand/Risiko der KI-Anwendung</t>
    </r>
  </si>
  <si>
    <t xml:space="preserve">Unternehmensbereich: </t>
  </si>
  <si>
    <t xml:space="preserve">KI-Anwendung:  </t>
  </si>
  <si>
    <t xml:space="preserve">Prozess/Aufgabe:  </t>
  </si>
  <si>
    <t xml:space="preserve">  Nutzen/Chance</t>
  </si>
  <si>
    <t>Nutzen-/Chancenbewertung</t>
  </si>
  <si>
    <t xml:space="preserve">  Aufwand/Risiko</t>
  </si>
  <si>
    <t>Aufwand-/Risikobewertung</t>
  </si>
  <si>
    <t>Aspekt/Art des Nutzens</t>
  </si>
  <si>
    <t>null</t>
  </si>
  <si>
    <t>Aspekt/Art des Aufwands/Risikos</t>
  </si>
  <si>
    <t xml:space="preserve">Positivmittelwert: </t>
  </si>
  <si>
    <t xml:space="preserve">Negativmittelwert: </t>
  </si>
  <si>
    <r>
      <rPr>
        <b/>
        <sz val="10"/>
        <color theme="0"/>
        <rFont val="Arial"/>
        <family val="2"/>
      </rPr>
      <t xml:space="preserve"> Erläuterung</t>
    </r>
    <r>
      <rPr>
        <sz val="10"/>
        <color theme="0"/>
        <rFont val="Arial"/>
        <family val="2"/>
      </rPr>
      <t xml:space="preserve">      Spaltenwert: null = 0, gering = 1, mittel = 2, hoch = 3, sehr hoch = 4     ;    Mittelwert gesamt = Summe(Anzahl Bewertungen pro Spalte x Spaltenwert)/Anzahl Aspekte</t>
    </r>
  </si>
  <si>
    <t>Bewertungsmatrix</t>
  </si>
  <si>
    <t>Bewertung und Priorisierung KI-Anwendungsmöglichkeiten</t>
  </si>
  <si>
    <t>Visualisierung der Potenzialposition (Nutzen/Chance und Aufwand/Risiko)</t>
  </si>
  <si>
    <t>Nr. der KI-Anwendung in Tabelle KI-Auswahl</t>
  </si>
  <si>
    <r>
      <rPr>
        <b/>
        <sz val="14"/>
        <color theme="0"/>
        <rFont val="Arial"/>
        <family val="2"/>
      </rPr>
      <t xml:space="preserve"> KI-Auswahl</t>
    </r>
    <r>
      <rPr>
        <sz val="11"/>
        <color theme="0"/>
        <rFont val="Arial"/>
        <family val="2"/>
      </rPr>
      <t xml:space="preserve"> - Bewertung und Priorisierung KI-Anwendungsmöglichkeiten</t>
    </r>
  </si>
  <si>
    <t>Y-Achse: Nutzen-/Chancenwert</t>
  </si>
  <si>
    <t>KI-Awendungsbereich</t>
  </si>
  <si>
    <t>Bezeichnung KI-Anwendung</t>
  </si>
  <si>
    <t>Nutzen/ Chance</t>
  </si>
  <si>
    <t>Aufwand/ Risiko</t>
  </si>
  <si>
    <t>Relation</t>
  </si>
  <si>
    <t>Rang</t>
  </si>
  <si>
    <t>y-Wert</t>
  </si>
  <si>
    <t>x-Wert</t>
  </si>
  <si>
    <t>y/x</t>
  </si>
  <si>
    <t>ABC</t>
  </si>
  <si>
    <t>Legende:</t>
  </si>
  <si>
    <t>Auswählen</t>
  </si>
  <si>
    <t xml:space="preserve"> A-Anwendung</t>
  </si>
  <si>
    <t>Prüfen</t>
  </si>
  <si>
    <t xml:space="preserve"> B-Anwendung</t>
  </si>
  <si>
    <t>Verwerfen</t>
  </si>
  <si>
    <t xml:space="preserve"> C-Anwendung</t>
  </si>
  <si>
    <t>X-Achse:  Aufwand-/Risikowert</t>
  </si>
  <si>
    <t>KI-Anforderung</t>
  </si>
  <si>
    <t>Beschreibung der Anforderungen an eine konkrete KI-Anwendung mithilfe eines Lastenhefts (Anforderungsspezifikation)</t>
  </si>
  <si>
    <r>
      <rPr>
        <b/>
        <sz val="14"/>
        <color theme="0"/>
        <rFont val="Arial"/>
        <family val="2"/>
      </rPr>
      <t xml:space="preserve"> KI-Anforderungen</t>
    </r>
    <r>
      <rPr>
        <sz val="11"/>
        <color theme="0"/>
        <rFont val="Arial"/>
        <family val="2"/>
      </rPr>
      <t xml:space="preserve"> - Anforderungsspezifikation für die Entwicklung und Realisierung einer KI-Anwendung</t>
    </r>
  </si>
  <si>
    <t xml:space="preserve">erstellt: </t>
  </si>
  <si>
    <t xml:space="preserve">geprüft: </t>
  </si>
  <si>
    <t xml:space="preserve">freigegeben: </t>
  </si>
  <si>
    <t>Kap.</t>
  </si>
  <si>
    <t>Titel</t>
  </si>
  <si>
    <t>Inhalt</t>
  </si>
  <si>
    <t>Konkrete Beschreibung für die geplante Anwendung</t>
  </si>
  <si>
    <t xml:space="preserve"> Deckblatt</t>
  </si>
  <si>
    <t>Bezeichnung des Dokuments</t>
  </si>
  <si>
    <t>1</t>
  </si>
  <si>
    <t>Einleitung</t>
  </si>
  <si>
    <t>Allgemeine Informationen</t>
  </si>
  <si>
    <t>Zweck</t>
  </si>
  <si>
    <t>Zweck des Dokuments</t>
  </si>
  <si>
    <t>Auftraggeber</t>
  </si>
  <si>
    <t>Kurze Unternehmensbeschreibung</t>
  </si>
  <si>
    <t>Ansprechpartner</t>
  </si>
  <si>
    <t>Kontaktdaten für externe Projektpartner und Auftragnehmer</t>
  </si>
  <si>
    <t>Ist-Situation</t>
  </si>
  <si>
    <t>Aktuelle Situationsbeschreibung</t>
  </si>
  <si>
    <t>Aufgabe</t>
  </si>
  <si>
    <t>Bezeichnung, Art und Inhalte Prozess oder Produkt</t>
  </si>
  <si>
    <t>Ziele</t>
  </si>
  <si>
    <t>Funktion und Ziele der Aufgabe</t>
  </si>
  <si>
    <t>Beteiligte</t>
  </si>
  <si>
    <t>Beteiligte Akteure (Kunden, Ausführende, Lieferanten)</t>
  </si>
  <si>
    <t>2.4</t>
  </si>
  <si>
    <t>Menge</t>
  </si>
  <si>
    <t>Häufigkeit und Mengen-verteilung im Zeitablauf</t>
  </si>
  <si>
    <t>2.5</t>
  </si>
  <si>
    <t>Aufwand</t>
  </si>
  <si>
    <t>Ressourcenbedarf (Zeit, Menge, Kosten) für Aufgabenerfüllung</t>
  </si>
  <si>
    <t>2.6</t>
  </si>
  <si>
    <t>Informationen</t>
  </si>
  <si>
    <t>Art erhaltener oder erzeugter  Informationen</t>
  </si>
  <si>
    <t>2.7</t>
  </si>
  <si>
    <t>Werkzeuge</t>
  </si>
  <si>
    <t>Eingesetzte Arbeits- und Betriebsmittel (Hard-/Software)</t>
  </si>
  <si>
    <t>2.8</t>
  </si>
  <si>
    <t>Schnittstellen</t>
  </si>
  <si>
    <t>Organisatorische und technische Prozess-/Systemgrenzen</t>
  </si>
  <si>
    <t>2.9</t>
  </si>
  <si>
    <t>Probleme</t>
  </si>
  <si>
    <t>Mängel, Schwierigkeiten, Verschwendungen, Änderungsbedarf</t>
  </si>
  <si>
    <t>Soll-Zustand</t>
  </si>
  <si>
    <t>Beschreibung zukünftiger Wunschzustand</t>
  </si>
  <si>
    <t>Qualitative Ziele</t>
  </si>
  <si>
    <t>Allgemein formulierte Ziele der KI-Anwendung</t>
  </si>
  <si>
    <t>Quantitative Ziele</t>
  </si>
  <si>
    <t>Mit Kennzahlen messbare Ziele der KI-Anwendung</t>
  </si>
  <si>
    <t>Funktionale Ziele</t>
  </si>
  <si>
    <t>Ziel bezogen auf die technisch-funktionalen Eigenschaften der KI-Anwendung</t>
  </si>
  <si>
    <t>3.4</t>
  </si>
  <si>
    <t>Randbedingungen</t>
  </si>
  <si>
    <t>Zwingend einzuhaltende Bedingungen (z. B. Gesetze, Normen, Richtlinien)</t>
  </si>
  <si>
    <t>Leistung</t>
  </si>
  <si>
    <t>Erwartete Leistung vom Auftragnehmer</t>
  </si>
  <si>
    <t>Technik</t>
  </si>
  <si>
    <t>Geforderte technische Leistungen innerhalb des Projekts</t>
  </si>
  <si>
    <t>Organisation</t>
  </si>
  <si>
    <t>Geforderte organisatorische Projekttätigkeiten</t>
  </si>
  <si>
    <t>Dokumentation</t>
  </si>
  <si>
    <t>Geforderte Art, Umfang und Inhalte von Dokumentationen</t>
  </si>
  <si>
    <t>4.4</t>
  </si>
  <si>
    <t>Wissen</t>
  </si>
  <si>
    <t>Geforderte Unterweisung und Schulung zur Wissensvermittlung</t>
  </si>
  <si>
    <t>4.5</t>
  </si>
  <si>
    <t>Inbetriebnahme</t>
  </si>
  <si>
    <t>Anforderungen an die Implementierung und Inbetriebnahme</t>
  </si>
  <si>
    <t>4.6</t>
  </si>
  <si>
    <t>Service &amp; Wartung</t>
  </si>
  <si>
    <t>Anforderungen an Service- und Wartungsleistungen</t>
  </si>
  <si>
    <t>Zeit und Kosten</t>
  </si>
  <si>
    <t>Erwartete Liefertermine und Kostenangaben</t>
  </si>
  <si>
    <t>5.1</t>
  </si>
  <si>
    <t>Termine</t>
  </si>
  <si>
    <t>Geforderte Liefertermine und Zeiten der Leistungserbringung</t>
  </si>
  <si>
    <t>5.2</t>
  </si>
  <si>
    <t>Kosten</t>
  </si>
  <si>
    <t>Geforderte Preis- und Kostenangaben</t>
  </si>
  <si>
    <t>Abschluss</t>
  </si>
  <si>
    <t>Kriterien und Bedingungen für den Projekt-/Auftragsabschluss</t>
  </si>
  <si>
    <t>6.1</t>
  </si>
  <si>
    <t>Abnahme</t>
  </si>
  <si>
    <t>Abnahmekrierien und Akzeptanzbedingungen für Leistungen</t>
  </si>
  <si>
    <t>6.2</t>
  </si>
  <si>
    <t>Zahlung</t>
  </si>
  <si>
    <t>Kaufmännische Zahlungsbedingungen</t>
  </si>
  <si>
    <t>Der KI-Machbarkeitscheck dient der qualitativen Bewertung der KI-Eignung des betroffenen Prozesses/Anwendungsfalls</t>
  </si>
  <si>
    <r>
      <t xml:space="preserve"> </t>
    </r>
    <r>
      <rPr>
        <b/>
        <sz val="12"/>
        <color theme="0"/>
        <rFont val="Arial"/>
        <family val="2"/>
      </rPr>
      <t>KI-Machbarkeit</t>
    </r>
    <r>
      <rPr>
        <sz val="12"/>
        <color theme="0"/>
        <rFont val="Arial"/>
        <family val="2"/>
      </rPr>
      <t xml:space="preserve"> - </t>
    </r>
    <r>
      <rPr>
        <sz val="11"/>
        <color theme="0"/>
        <rFont val="Arial"/>
        <family val="2"/>
      </rPr>
      <t>Prüfung der sinnvollen Machbarkeit einer KI-Anwendungsmöglichkeit</t>
    </r>
  </si>
  <si>
    <t>KI-Anwendungsmöglichkeit:</t>
  </si>
  <si>
    <t>Prozess/Bereich:</t>
  </si>
  <si>
    <t>Datum:</t>
  </si>
  <si>
    <t>KI-Machbarkeitsindikatoren</t>
  </si>
  <si>
    <t>Bewertung:</t>
  </si>
  <si>
    <t>Datenumfang</t>
  </si>
  <si>
    <t>Wie hoch ist die Menge der zu berücksichtigenden und verfügbaren Informationen/Daten im Prozess?</t>
  </si>
  <si>
    <t>Wert:</t>
  </si>
  <si>
    <t>Wie vielfältig/unterschiedlich sind die im Prozess verwendeten und verfügbaren Informationen/Daten?</t>
  </si>
  <si>
    <t>Datenverfügbarkeit</t>
  </si>
  <si>
    <t>Liegen die im Prozess verwendeten/erzeugten Informationen in digitaler Form als Daten vor?</t>
  </si>
  <si>
    <t>nein = 0</t>
  </si>
  <si>
    <t>zum Teil = 1</t>
  </si>
  <si>
    <t>überwiegend = 2</t>
  </si>
  <si>
    <t>vollständig = 3</t>
  </si>
  <si>
    <t>Werden Prozessinformationen digital mit vor-/nachgelagerten Prozessen ausgetauscht?</t>
  </si>
  <si>
    <t>Datenqualität</t>
  </si>
  <si>
    <t>Wie vertrauenswürdig/korrekt sind die für den Prozess verfügbaren Informationen/Daten?</t>
  </si>
  <si>
    <t>Wie aussagefähig (detailliert/genau) sind im Prozess verfügbaren Informationen/Daten?</t>
  </si>
  <si>
    <t>D</t>
  </si>
  <si>
    <t>Intelligenzanforderung</t>
  </si>
  <si>
    <t>Müssen im Prozess informationsabhängige Schlussfolgerungen oder Entscheidungen getroffen werden?</t>
  </si>
  <si>
    <t>nein = 2</t>
  </si>
  <si>
    <t>häufig = 2</t>
  </si>
  <si>
    <t>permanent = 3</t>
  </si>
  <si>
    <t>Wie hoch (vielfältig/komplex) sind die Schlussfolgerungs-/Entscheidungsregeln im Prozess?</t>
  </si>
  <si>
    <t>E</t>
  </si>
  <si>
    <t>Lösungsalternative</t>
  </si>
  <si>
    <t>Wurden einfache Alternativlösungen ohne KI für die Anwendung geprüft?</t>
  </si>
  <si>
    <t>nur eine = 1</t>
  </si>
  <si>
    <t>mehrere = 2</t>
  </si>
  <si>
    <t>viele intensiv = 3</t>
  </si>
  <si>
    <t>Könnten die definierten Ziele der Anwendung evtl. auch ohne KI-Einsatz erreicht werden?</t>
  </si>
  <si>
    <t>ja = 0</t>
  </si>
  <si>
    <t>ielleicht = 1</t>
  </si>
  <si>
    <t>eher nicht = 2</t>
  </si>
  <si>
    <t>nein = 3</t>
  </si>
  <si>
    <t xml:space="preserve">KI-Machbarkeitswert: </t>
  </si>
  <si>
    <t>Beschreibung des Lösungskonzepts für die Realisierung einer KI-Anwendung bezogen auf Anwendung, Umsetzung und Technik</t>
  </si>
  <si>
    <r>
      <rPr>
        <b/>
        <sz val="14"/>
        <color theme="0"/>
        <rFont val="Arial"/>
        <family val="2"/>
      </rPr>
      <t xml:space="preserve"> KI-Konzept</t>
    </r>
    <r>
      <rPr>
        <sz val="11"/>
        <color theme="0"/>
        <rFont val="Arial"/>
        <family val="2"/>
      </rPr>
      <t xml:space="preserve"> - Konzept für die Realisierung einer KI-Anwendung</t>
    </r>
  </si>
  <si>
    <t xml:space="preserve">KI-Anwendung: </t>
  </si>
  <si>
    <t xml:space="preserve"> 1 Anwendungskonzept (Kurzbeschreibung)</t>
  </si>
  <si>
    <t xml:space="preserve"> 2 Umsetzungskonzept</t>
  </si>
  <si>
    <t>Ablauf</t>
  </si>
  <si>
    <t>Akteure</t>
  </si>
  <si>
    <t>Rolle</t>
  </si>
  <si>
    <t>Akteur 1 (Name)</t>
  </si>
  <si>
    <t>Akteur 2 (Name)</t>
  </si>
  <si>
    <t>Unternehmen (intern/extern)</t>
  </si>
  <si>
    <t>Plan-Zeitaufwand [Std]</t>
  </si>
  <si>
    <t>Plan-Kostenaufwand [€]</t>
  </si>
  <si>
    <t>Bemerkung</t>
  </si>
  <si>
    <t>Umsetzungsphase/-aktivität</t>
  </si>
  <si>
    <t>Starttermin</t>
  </si>
  <si>
    <t>Endtermin</t>
  </si>
  <si>
    <t>Plan-Aufwand extern [Std,€]</t>
  </si>
  <si>
    <t>Plan-Aufwand intern [Std,€]</t>
  </si>
  <si>
    <t>Akteur verantwortlich</t>
  </si>
  <si>
    <t>Akteur beteiligt</t>
  </si>
  <si>
    <t xml:space="preserve"> 3 Technikkonzept</t>
  </si>
  <si>
    <t>IT-Werkzeuge</t>
  </si>
  <si>
    <t>Art</t>
  </si>
  <si>
    <t>Plan-Werkzeuge im Lösungskonzept</t>
  </si>
  <si>
    <t>Fehlende Werkzeuge</t>
  </si>
  <si>
    <t>Anbieter</t>
  </si>
  <si>
    <t>Lieferzeit</t>
  </si>
  <si>
    <t>KI-Elemente</t>
  </si>
  <si>
    <t>Plan-Elemente im Lösungskonzept</t>
  </si>
  <si>
    <t>Bemerkungen/Hinweise</t>
  </si>
  <si>
    <t>Planung und Steuerung einer KI-Anwendungsentwicklung</t>
  </si>
  <si>
    <r>
      <rPr>
        <b/>
        <sz val="14"/>
        <color theme="0"/>
        <rFont val="Arial"/>
        <family val="2"/>
      </rPr>
      <t xml:space="preserve"> KI-Entwicklung</t>
    </r>
    <r>
      <rPr>
        <sz val="11"/>
        <color theme="0"/>
        <rFont val="Arial"/>
        <family val="2"/>
      </rPr>
      <t xml:space="preserve"> - Planung und Steuerung des Entwicklungsprozesses</t>
    </r>
  </si>
  <si>
    <t xml:space="preserve">Kunde: </t>
  </si>
  <si>
    <t xml:space="preserve">Entwickler: </t>
  </si>
  <si>
    <t xml:space="preserve">Stand: </t>
  </si>
  <si>
    <t xml:space="preserve"> 1 Entwicklungsplan (Phasen und Meilensteine)</t>
  </si>
  <si>
    <t>Phasen/Meilensteine</t>
  </si>
  <si>
    <t>Entwicklung</t>
  </si>
  <si>
    <t>Kunde</t>
  </si>
  <si>
    <t>Plan-Ecktermine</t>
  </si>
  <si>
    <t>Status</t>
  </si>
  <si>
    <t>Akteure (verantwortlich)</t>
  </si>
  <si>
    <t>Akteure (beteiligt)</t>
  </si>
  <si>
    <t>Start</t>
  </si>
  <si>
    <t>Ende</t>
  </si>
  <si>
    <t>geplant</t>
  </si>
  <si>
    <t>in Arbeit</t>
  </si>
  <si>
    <t>erledigt</t>
  </si>
  <si>
    <t xml:space="preserve"> 2 Entwicklungsaktivitäten (KANBAN-Board)</t>
  </si>
  <si>
    <t>AUFGABEN</t>
  </si>
  <si>
    <t>IN ARBEIT</t>
  </si>
  <si>
    <t>PRÜFUNG</t>
  </si>
  <si>
    <t>FERTIG</t>
  </si>
  <si>
    <t>(TO DO, BACKLOG)</t>
  </si>
  <si>
    <t>(IN PROGRESS)</t>
  </si>
  <si>
    <t>(TEST, VALIDATE)</t>
  </si>
  <si>
    <t>(DONE)</t>
  </si>
  <si>
    <t>Planung von Maßnahmen und Aktivitäten zur Einführung der KI-Anwendung</t>
  </si>
  <si>
    <r>
      <rPr>
        <b/>
        <sz val="14"/>
        <color theme="0"/>
        <rFont val="Arial"/>
        <family val="2"/>
      </rPr>
      <t>KI-Einführung</t>
    </r>
    <r>
      <rPr>
        <sz val="12"/>
        <color theme="0"/>
        <rFont val="Arial"/>
        <family val="2"/>
      </rPr>
      <t xml:space="preserve"> - Aktivitäten zur Einführung KI-Anwendung</t>
    </r>
  </si>
  <si>
    <t xml:space="preserve"> Einführungsplan</t>
  </si>
  <si>
    <t>Aktivität/Maßnahme</t>
  </si>
  <si>
    <t>Akteure extern</t>
  </si>
  <si>
    <t>Akteure intern</t>
  </si>
  <si>
    <t>Plantermine</t>
  </si>
  <si>
    <t>(Entwickler)</t>
  </si>
  <si>
    <t>(Kunde)</t>
  </si>
  <si>
    <t>Erfassung der Leistungsdaten und Probleme/Mängel im Praxisbetrieb der KI-Anwendung</t>
  </si>
  <si>
    <r>
      <rPr>
        <b/>
        <sz val="14"/>
        <color theme="0"/>
        <rFont val="Arial"/>
        <family val="2"/>
      </rPr>
      <t xml:space="preserve"> KI-Anwendung</t>
    </r>
    <r>
      <rPr>
        <sz val="11"/>
        <color theme="0"/>
        <rFont val="Arial"/>
        <family val="2"/>
      </rPr>
      <t xml:space="preserve"> - Leistung und Probleme</t>
    </r>
  </si>
  <si>
    <t xml:space="preserve">Lieferant: </t>
  </si>
  <si>
    <t xml:space="preserve"> 1 Leistungsdaten (Kennzahlen)</t>
  </si>
  <si>
    <t>Leistungszeitraum</t>
  </si>
  <si>
    <t>technische Verfügbarkeit</t>
  </si>
  <si>
    <t>Anwendungsmenge</t>
  </si>
  <si>
    <t>mittlere Antwortzeit</t>
  </si>
  <si>
    <t>Kundenzufriedenheit</t>
  </si>
  <si>
    <t xml:space="preserve">Auswertedatum: </t>
  </si>
  <si>
    <t xml:space="preserve">Auswertungszeit: </t>
  </si>
  <si>
    <t xml:space="preserve">Endabnahme: </t>
  </si>
  <si>
    <t xml:space="preserve">Inbetriebnahme: </t>
  </si>
  <si>
    <t xml:space="preserve">Testlauf: </t>
  </si>
  <si>
    <t>Soll</t>
  </si>
  <si>
    <t>Ist</t>
  </si>
  <si>
    <t xml:space="preserve"> 2 Problemerfassung (Mängelliste)</t>
  </si>
  <si>
    <t>Datum</t>
  </si>
  <si>
    <t>Uhrzeit</t>
  </si>
  <si>
    <t>Beschreibung aufgetretenes Probem/festgestellter Mangel</t>
  </si>
  <si>
    <t>Lieferant</t>
  </si>
  <si>
    <t>Erfassung durch:</t>
  </si>
  <si>
    <t>Information an:</t>
  </si>
  <si>
    <t>informiert</t>
  </si>
  <si>
    <t>erleidgt</t>
  </si>
  <si>
    <t>Erfassung von Anpassungsbedarf und Anpassungsmaßnahmen der KI-Anwendung</t>
  </si>
  <si>
    <r>
      <rPr>
        <b/>
        <sz val="14"/>
        <color theme="0"/>
        <rFont val="Arial"/>
        <family val="2"/>
      </rPr>
      <t xml:space="preserve"> KI-Anpassung</t>
    </r>
    <r>
      <rPr>
        <sz val="11"/>
        <color theme="0"/>
        <rFont val="Arial"/>
        <family val="2"/>
      </rPr>
      <t xml:space="preserve"> - Erforderliche Anpassung der KI-Anwendung</t>
    </r>
  </si>
  <si>
    <t>KI-Anwendung :</t>
  </si>
  <si>
    <t>Anpassungsbedarf</t>
  </si>
  <si>
    <t>Anpassungsmaßnahme</t>
  </si>
  <si>
    <t>Verantwortung</t>
  </si>
  <si>
    <t>Termin</t>
  </si>
  <si>
    <t>(Abweichung, Problem, Potenzial)</t>
  </si>
  <si>
    <t>(Korrektur, Problemlösung, Optimierung)</t>
  </si>
  <si>
    <t>(wer?)</t>
  </si>
  <si>
    <t>(bis wann?)</t>
  </si>
  <si>
    <t>Bewertung des Erfolgs einer KI-Anwendung anhand der festgelegten KI-Ziele und KI-Zielgrößen</t>
  </si>
  <si>
    <r>
      <t xml:space="preserve"> </t>
    </r>
    <r>
      <rPr>
        <b/>
        <sz val="14"/>
        <color theme="0"/>
        <rFont val="Arial"/>
        <family val="2"/>
      </rPr>
      <t>KI-Erfolg</t>
    </r>
    <r>
      <rPr>
        <sz val="12"/>
        <color theme="0"/>
        <rFont val="Arial"/>
        <family val="2"/>
      </rPr>
      <t xml:space="preserve"> - Bewertung der realisierten Verbesserung durch die KI-Anwendung anhand der festgelegten KI-Ziele/KI-Zielgrößen</t>
    </r>
  </si>
  <si>
    <t xml:space="preserve">in Betrieb seit: </t>
  </si>
  <si>
    <t xml:space="preserve">Datum Bewertung: </t>
  </si>
  <si>
    <t>Ziel-aspekt</t>
  </si>
  <si>
    <t>Quantitative Bewertung Erfolg/Kennzahlveränderung</t>
  </si>
  <si>
    <t>Qualitative Bewertung Erfolg/Verbesserung</t>
  </si>
  <si>
    <t>Messgröße (Kennzahl)</t>
  </si>
  <si>
    <t>vor KI</t>
  </si>
  <si>
    <t>nach KI</t>
  </si>
  <si>
    <t>Änderung</t>
  </si>
  <si>
    <t>keine</t>
  </si>
  <si>
    <t>Entscheidung über die weitere Vorgehensweise mit der KI-Anwendung</t>
  </si>
  <si>
    <r>
      <t xml:space="preserve"> </t>
    </r>
    <r>
      <rPr>
        <b/>
        <sz val="14"/>
        <color theme="0"/>
        <rFont val="Arial"/>
        <family val="2"/>
      </rPr>
      <t>KI-Entscheidung</t>
    </r>
    <r>
      <rPr>
        <sz val="12"/>
        <color theme="0"/>
        <rFont val="Arial"/>
        <family val="2"/>
      </rPr>
      <t xml:space="preserve"> - Abschlussbewertung und weitere Vorgehensweise</t>
    </r>
  </si>
  <si>
    <t xml:space="preserve">Bereich/Prozess:  </t>
  </si>
  <si>
    <t xml:space="preserve">  1  Eckdaten KI-Anwendungsergebnis</t>
  </si>
  <si>
    <t xml:space="preserve"> 1.1</t>
  </si>
  <si>
    <t>Laufzeit</t>
  </si>
  <si>
    <t xml:space="preserve">Auftragsstart: </t>
  </si>
  <si>
    <t xml:space="preserve"> Datum</t>
  </si>
  <si>
    <t xml:space="preserve">Umsetzungsdauer: </t>
  </si>
  <si>
    <t>Monate</t>
  </si>
  <si>
    <t xml:space="preserve"> 1.2</t>
  </si>
  <si>
    <t>Rentabilität</t>
  </si>
  <si>
    <t xml:space="preserve">Einmalkosten: </t>
  </si>
  <si>
    <t xml:space="preserve"> €</t>
  </si>
  <si>
    <t xml:space="preserve">laufende Kosten: </t>
  </si>
  <si>
    <t xml:space="preserve"> €/Jahr</t>
  </si>
  <si>
    <t xml:space="preserve">Kosteneinsparung: </t>
  </si>
  <si>
    <t xml:space="preserve">Amortisationszeit: </t>
  </si>
  <si>
    <t xml:space="preserve"> Jahre</t>
  </si>
  <si>
    <t xml:space="preserve"> 1.3</t>
  </si>
  <si>
    <t>Zielerfüllung</t>
  </si>
  <si>
    <t xml:space="preserve">Wirtschaftlichkeit:   </t>
  </si>
  <si>
    <t>≤ 0</t>
  </si>
  <si>
    <t>&gt; 100</t>
  </si>
  <si>
    <t xml:space="preserve"> %</t>
  </si>
  <si>
    <t xml:space="preserve">Umweltschutz:   </t>
  </si>
  <si>
    <t xml:space="preserve">Soziales:   </t>
  </si>
  <si>
    <t xml:space="preserve">Technik &amp; Wissen:   </t>
  </si>
  <si>
    <t xml:space="preserve">  2  Entscheidung über weitere Vorgehensweise</t>
  </si>
  <si>
    <r>
      <rPr>
        <sz val="14"/>
        <rFont val="Arial"/>
        <family val="2"/>
      </rPr>
      <t>□</t>
    </r>
  </si>
  <si>
    <t>Einstellung Projekt/Aktivitäten aufgrund fehlender Erfolgsaussicht</t>
  </si>
  <si>
    <t>Bemerkung:</t>
  </si>
  <si>
    <t>Suche nach anderen Lösungen für Problem</t>
  </si>
  <si>
    <t>Projektverlängerung zur weiteren Optimierung KI-Anwendung</t>
  </si>
  <si>
    <t>Projektabschluss und Übergabe KI-Anwendung in Bereich</t>
  </si>
  <si>
    <t>Rollout KI-Anwendung auf weitere Bereiche/Prozesse</t>
  </si>
  <si>
    <t>Datum/Unterschrift:</t>
  </si>
  <si>
    <t>Aktualisierung Lern-/Problemlösungs-/Strategiebedarf</t>
  </si>
  <si>
    <t>Anpassung KI-Ziele/-KI-Strategie</t>
  </si>
  <si>
    <t>Beispiel zu Arbeitshilfe 1-0</t>
  </si>
  <si>
    <t>KMU GmbH</t>
  </si>
  <si>
    <t>Frank Schulze</t>
  </si>
  <si>
    <t>Geschäftsführung</t>
  </si>
  <si>
    <t>Meier</t>
  </si>
  <si>
    <t>Michael</t>
  </si>
  <si>
    <t>0211 4321101</t>
  </si>
  <si>
    <t>meier@KMU.de</t>
  </si>
  <si>
    <t>Information und Kommunikation</t>
  </si>
  <si>
    <t>Schulze</t>
  </si>
  <si>
    <t>Frank</t>
  </si>
  <si>
    <t>0211 4321116</t>
  </si>
  <si>
    <t>schluz@KMU.de</t>
  </si>
  <si>
    <t>Vertrieb und Marketing</t>
  </si>
  <si>
    <t>Walter</t>
  </si>
  <si>
    <t>Christiane</t>
  </si>
  <si>
    <t>0211 4321125</t>
  </si>
  <si>
    <t>walter@KMU.de</t>
  </si>
  <si>
    <t>Produktion</t>
  </si>
  <si>
    <t>Dreier</t>
  </si>
  <si>
    <t>Christoph</t>
  </si>
  <si>
    <t>0211 4321148</t>
  </si>
  <si>
    <t>dreiser@KMU.de</t>
  </si>
  <si>
    <t>Qualitätswesen</t>
  </si>
  <si>
    <t>Bayram</t>
  </si>
  <si>
    <t>Erol</t>
  </si>
  <si>
    <t>0211 4321171</t>
  </si>
  <si>
    <t>bayram@KMU.de</t>
  </si>
  <si>
    <t>Personal</t>
  </si>
  <si>
    <t>Feisel</t>
  </si>
  <si>
    <t>Martina</t>
  </si>
  <si>
    <t>0211 4321160</t>
  </si>
  <si>
    <t>feisel@KMU.de</t>
  </si>
  <si>
    <t>Dürer</t>
  </si>
  <si>
    <t>Sebastian</t>
  </si>
  <si>
    <t>0211 4321128</t>
  </si>
  <si>
    <t>dürer@KMU.de</t>
  </si>
  <si>
    <t>Betriebsrat</t>
  </si>
  <si>
    <t>Japes</t>
  </si>
  <si>
    <t>Michaela</t>
  </si>
  <si>
    <t>0211 4321133</t>
  </si>
  <si>
    <t>japes@KMU.de</t>
  </si>
  <si>
    <t>KI-Dienstleistung GmbH</t>
  </si>
  <si>
    <t>Mazur, Fahid</t>
  </si>
  <si>
    <t>Projektmanagement</t>
  </si>
  <si>
    <t>0123 789678-0</t>
  </si>
  <si>
    <t>mazur@kigmbh.de</t>
  </si>
  <si>
    <t>Einkauf</t>
  </si>
  <si>
    <t>Kraus, Sascha</t>
  </si>
  <si>
    <t>Leitung Einkauf</t>
  </si>
  <si>
    <t>Rechtsberatung GmbH</t>
  </si>
  <si>
    <t>Thomas, Phillip</t>
  </si>
  <si>
    <t>Rechtsanwalt</t>
  </si>
  <si>
    <t>0235 47764</t>
  </si>
  <si>
    <t>thomas@RA.de</t>
  </si>
  <si>
    <t>Beispiel zu Arbeitshilfe 1-1</t>
  </si>
  <si>
    <t>[  ] unkritisch = 0</t>
  </si>
  <si>
    <r>
      <t>[</t>
    </r>
    <r>
      <rPr>
        <b/>
        <sz val="11"/>
        <color theme="1"/>
        <rFont val="Arial"/>
        <family val="2"/>
      </rPr>
      <t>X</t>
    </r>
    <r>
      <rPr>
        <sz val="11"/>
        <color theme="1"/>
        <rFont val="Arial"/>
        <family val="2"/>
      </rPr>
      <t>] akzeptabel = 1</t>
    </r>
  </si>
  <si>
    <t>[  ] kritisch = 2</t>
  </si>
  <si>
    <t>[  ] sehr kritisch = 3</t>
  </si>
  <si>
    <t>[  ] gering = 0</t>
  </si>
  <si>
    <t>[  ] mittel = 1</t>
  </si>
  <si>
    <r>
      <t>[</t>
    </r>
    <r>
      <rPr>
        <b/>
        <sz val="11"/>
        <color theme="1"/>
        <rFont val="Arial"/>
        <family val="2"/>
      </rPr>
      <t>X</t>
    </r>
    <r>
      <rPr>
        <sz val="11"/>
        <color theme="1"/>
        <rFont val="Arial"/>
        <family val="2"/>
      </rPr>
      <t>] hoch = 2</t>
    </r>
  </si>
  <si>
    <t>[  ] sehr hoch = 3</t>
  </si>
  <si>
    <r>
      <t>[</t>
    </r>
    <r>
      <rPr>
        <b/>
        <sz val="11"/>
        <color theme="1"/>
        <rFont val="Arial"/>
        <family val="2"/>
      </rPr>
      <t>X</t>
    </r>
    <r>
      <rPr>
        <sz val="11"/>
        <color theme="1"/>
        <rFont val="Arial"/>
        <family val="2"/>
      </rPr>
      <t>] mittel = 1</t>
    </r>
  </si>
  <si>
    <t>[  ] hoch = 2</t>
  </si>
  <si>
    <t>Wie schätzen Sie die Bedeutung von KI für den zukünftigen Unternehmenserfolg ein?</t>
  </si>
  <si>
    <r>
      <t>[</t>
    </r>
    <r>
      <rPr>
        <b/>
        <sz val="11"/>
        <color theme="1"/>
        <rFont val="Arial"/>
        <family val="2"/>
      </rPr>
      <t>X</t>
    </r>
    <r>
      <rPr>
        <sz val="11"/>
        <color theme="1"/>
        <rFont val="Arial"/>
        <family val="2"/>
      </rPr>
      <t>] sehr hoch = 3</t>
    </r>
  </si>
  <si>
    <t>[  ] sehr hoch = 0</t>
  </si>
  <si>
    <r>
      <t>[</t>
    </r>
    <r>
      <rPr>
        <b/>
        <sz val="11"/>
        <color theme="1"/>
        <rFont val="Arial"/>
        <family val="2"/>
      </rPr>
      <t>X</t>
    </r>
    <r>
      <rPr>
        <sz val="11"/>
        <color theme="1"/>
        <rFont val="Arial"/>
        <family val="2"/>
      </rPr>
      <t>] gering = 2</t>
    </r>
  </si>
  <si>
    <t>[  ] sehr gering = 3</t>
  </si>
  <si>
    <t>[  ] sehr gut = 0</t>
  </si>
  <si>
    <t>[  ] ausreichend = 1</t>
  </si>
  <si>
    <t>[  ] zu verbessern = 2</t>
  </si>
  <si>
    <r>
      <t>[</t>
    </r>
    <r>
      <rPr>
        <b/>
        <sz val="11"/>
        <color theme="1"/>
        <rFont val="Arial"/>
        <family val="2"/>
      </rPr>
      <t>X</t>
    </r>
    <r>
      <rPr>
        <sz val="11"/>
        <color theme="1"/>
        <rFont val="Arial"/>
        <family val="2"/>
      </rPr>
      <t>] ungenügend = 3</t>
    </r>
  </si>
  <si>
    <t>□ Keine KI-Aktivitäten erforderlich.</t>
  </si>
  <si>
    <t>□ Lernorientierter Ansatz: Realisierung KI in einem Pilotprojekt, um Wissen/Erfahrung aufzubauen.</t>
  </si>
  <si>
    <r>
      <t xml:space="preserve">□ </t>
    </r>
    <r>
      <rPr>
        <sz val="11"/>
        <color theme="1"/>
        <rFont val="Arial"/>
        <family val="2"/>
      </rPr>
      <t>Problemorientierter Ansatz: Punktueller Einsatz von KI zur Lösung konkreter Problemstellungen.</t>
    </r>
  </si>
  <si>
    <r>
      <t xml:space="preserve">X </t>
    </r>
    <r>
      <rPr>
        <sz val="11"/>
        <color theme="1"/>
        <rFont val="Arial"/>
        <family val="2"/>
      </rPr>
      <t>Strategieorientierter Ansatz: Entwicklung einer KI-Strategie mit KI-Projekten im gesamten Unternehmen.</t>
    </r>
  </si>
  <si>
    <t>Beispiel zu Arbeitshilfe 1-2</t>
  </si>
  <si>
    <t>Qualität (Produkte,Prozesse)</t>
  </si>
  <si>
    <t>Reduzierung Reklamations-/Fehlerquote Produkte und Dienstleistungen</t>
  </si>
  <si>
    <t>Fehlerquote [%]</t>
  </si>
  <si>
    <t>X</t>
  </si>
  <si>
    <t>Verbesserung Kundenzufriedenheit (intern/extern)</t>
  </si>
  <si>
    <t>Kundenzufriedenheitsindex [-]</t>
  </si>
  <si>
    <t>Reduzierung interne Mehr-/Nacharbeitskosten durch Prozessfehler</t>
  </si>
  <si>
    <t>Mehr-/Nacharbeitskosten [€/Jahr]</t>
  </si>
  <si>
    <t>Produktivität/Effizienz</t>
  </si>
  <si>
    <t>Reduzierung der Produktstückkosten/Dienstleistungskosten</t>
  </si>
  <si>
    <t>Produktkosten [€/St]</t>
  </si>
  <si>
    <t>Reduzierung Prozesszeiten</t>
  </si>
  <si>
    <t>Prozesszeiten [Min/St]</t>
  </si>
  <si>
    <t>Verbesserung der Kapazitätsauslastung (Betriebsmittel, Personal)</t>
  </si>
  <si>
    <t>Nutzungsgrad [%]</t>
  </si>
  <si>
    <t>Flexibilität/Reaktionszeiten</t>
  </si>
  <si>
    <t>Verkürzung von Liefer-/Reaktionszeiten für Kundenbestellungen</t>
  </si>
  <si>
    <t>Lieferzeit [Tage]</t>
  </si>
  <si>
    <t>Reduzierung Durchlaufzeiten interne Unternehmensprozesse</t>
  </si>
  <si>
    <t>Durchlaufzeit [Std]</t>
  </si>
  <si>
    <t>Verbesserung Kapazitätsanpassungsflexibilität</t>
  </si>
  <si>
    <t>Verfügbarkeitsgrad [%]</t>
  </si>
  <si>
    <t>Ressourcenverbrauch  (Energie, Rohstoffe, Wasser)</t>
  </si>
  <si>
    <t>Minimierung des Stromverbrauchs für KI-Anwendungen</t>
  </si>
  <si>
    <t>Stromverbrauch [kWh/Jahr]</t>
  </si>
  <si>
    <t>Beitrag KI-Anwendung zur Reduzierung Stoffverbräuche</t>
  </si>
  <si>
    <t>Stoffverbrauch [kg/Jahr]</t>
  </si>
  <si>
    <t>Beitrag KI-Anwendung zur Reduzierung Energieverbrauch Unternehmen</t>
  </si>
  <si>
    <t>Energieverbrauch [kWh/Jahr]</t>
  </si>
  <si>
    <t>Emissionen und Immissionen</t>
  </si>
  <si>
    <t>Minimierung des CO2-Fussabdrucks der KI-Anwendung</t>
  </si>
  <si>
    <t>CO2-Footprint [kg CO2e]</t>
  </si>
  <si>
    <t>Beitrag KI-Anwendung zur Verbesserung CO2-Bilanz Unternehmen</t>
  </si>
  <si>
    <t>CO2-Bilanz [kg CO2/Jahr]</t>
  </si>
  <si>
    <t>Beitrag KI-Anwendung zur Verbesserung CO2-Bilanz Produkte</t>
  </si>
  <si>
    <t>CO2-Bilanz [kg CO2/St]</t>
  </si>
  <si>
    <t>Umweltverschmutzung (Abfälle, Abwasser, Gefahrstoffe)</t>
  </si>
  <si>
    <t>Beitrag KI-Anwendung zur Reduzierung Abfälle und Abwasser</t>
  </si>
  <si>
    <t>Abfallaufkommen [kg/Jahr]</t>
  </si>
  <si>
    <t>Beitrag KI-Anwendung zur Reduzierung Gefahrstoffanteile</t>
  </si>
  <si>
    <t>Gefahrstoffe [kg/Jahr]</t>
  </si>
  <si>
    <t>Beitrag KI-Anwendung zur Ausweitung Kreislaufwirtschaft</t>
  </si>
  <si>
    <t>Recyclingquote [%]</t>
  </si>
  <si>
    <t>Verantwortung für Beschäftigte</t>
  </si>
  <si>
    <t>Reduzierung Arbeitsbelastung Beschäftigte</t>
  </si>
  <si>
    <t>Überstunden [Std/Jahr]</t>
  </si>
  <si>
    <t>Verbesserung Arbeitsschutz</t>
  </si>
  <si>
    <t>1-Mio.-Srd.-Quote [-]</t>
  </si>
  <si>
    <t>Verbesserung Ergonomie und Gesundheitsschutz</t>
  </si>
  <si>
    <t>Krankenquote [%]</t>
  </si>
  <si>
    <t>3.1.4</t>
  </si>
  <si>
    <t>Verbesserung Arbeitszufriedenheit Mitarbeiter</t>
  </si>
  <si>
    <t>MA-Zufriedenheitsgrad [%]</t>
  </si>
  <si>
    <t>Verantwortung gegenüber Kunden, Lieferanten und Geschäftspartnern</t>
  </si>
  <si>
    <t xml:space="preserve">Verbesserung Kundenzufriedenheit </t>
  </si>
  <si>
    <t>Einhaltung Verträge und Rechtsvorschriften</t>
  </si>
  <si>
    <t>Beschwerden [St/Jahr]</t>
  </si>
  <si>
    <t>Verbesserung nachhaltige Kunden-/Lieferantenbindung</t>
  </si>
  <si>
    <t>Beziehungsdauer [Jahre]</t>
  </si>
  <si>
    <t>Verantwortung für Gesellschaft</t>
  </si>
  <si>
    <t>Konformität KI-Anwendung mit internationalen Mindestnormen/-werten</t>
  </si>
  <si>
    <t>Beachtung regionale Gesetze und kulturelle Unterschiede</t>
  </si>
  <si>
    <t>techn. Wissen und Know-how</t>
  </si>
  <si>
    <t>Schutz von Produkt- und Firmengeheimnissen</t>
  </si>
  <si>
    <t>Imitationen/Diebstähle [St/Jahr]</t>
  </si>
  <si>
    <t>Weiterentwicklung Fähigkeiten und Know-how</t>
  </si>
  <si>
    <t>Anzahl Schulung &amp; Weiterbildung [St/Jahr]</t>
  </si>
  <si>
    <t>Verbesserung von KI-Kompetenz</t>
  </si>
  <si>
    <t>Kompetenzgrad [%]</t>
  </si>
  <si>
    <t>technische Ausstattung</t>
  </si>
  <si>
    <t>Verbesserung technische KI-Austattung</t>
  </si>
  <si>
    <t>Anzahl Anwendungstools [St]</t>
  </si>
  <si>
    <t>Hohes KI-Technologieniveau (Qualität)</t>
  </si>
  <si>
    <t>Technikniveaubewertung [-]</t>
  </si>
  <si>
    <t>Aktueller Stand der Technik (Aktualität, Alter)</t>
  </si>
  <si>
    <t>Alter der KI-Tools [Jahre]</t>
  </si>
  <si>
    <t>Technologienutzung</t>
  </si>
  <si>
    <t>Ausweitung Anwendungs-/Verbreitungsgrad</t>
  </si>
  <si>
    <t>Anzahl Anwendungsfälle [St]</t>
  </si>
  <si>
    <t>Hoher Nutzungsgrad angeschaffte KI-Tools</t>
  </si>
  <si>
    <t>Erfolg/Effektivität der KI-Nutzung</t>
  </si>
  <si>
    <t>Gesamtanlageneffektivität [%]</t>
  </si>
  <si>
    <t>Beispiel zu Arbeitshilfe 2-1</t>
  </si>
  <si>
    <t>Lieferant bekannt?</t>
  </si>
  <si>
    <t>Vertrieb/Kundendienst</t>
  </si>
  <si>
    <t>Beantwortung von Kundenanfragen</t>
  </si>
  <si>
    <t>Chatbots zur automatisierten Beantwortung von Kundenanfragen</t>
  </si>
  <si>
    <t>Vertrieb</t>
  </si>
  <si>
    <t>Bearbeitung von Kundenbestellung</t>
  </si>
  <si>
    <t>Engine zur Text-/Zeichenerkennung, um Daten aus Bestellungen (Papier, Mail) zu extrahieren und in interne EDV-Systeme einzupflegen</t>
  </si>
  <si>
    <t>Absatzprognose und -planung</t>
  </si>
  <si>
    <t>Bedarfsprognose und Vorhersage von Kundenbestellungen und Absatzmengen unter Berücksichtigung saisonaler und sonstiger Einflüsse</t>
  </si>
  <si>
    <t>Rechnungswesen</t>
  </si>
  <si>
    <t>Bearbeitung von Rechnungen</t>
  </si>
  <si>
    <t>Engine zur Text-/Zeichenerkennung, um Daten aus Rechnungen (Papier, Mail) zu extrahieren und in interne EDV-Systeme einzupflegen</t>
  </si>
  <si>
    <t>Personalwesen</t>
  </si>
  <si>
    <t>Erfassung und Auswertung von Bewerbungen</t>
  </si>
  <si>
    <t>Screening von Lebensläufen und Vorauswahl von Bewerbern</t>
  </si>
  <si>
    <t>Qualitätssicherung</t>
  </si>
  <si>
    <t>Produkt- und Prozessüberwachung</t>
  </si>
  <si>
    <t>Vorhersage der Produkt- und Prozessqualität anhand von Material-, Anlagen- und Prozessparametern</t>
  </si>
  <si>
    <t>Instandhaltung</t>
  </si>
  <si>
    <t>Anlagenüberwachung</t>
  </si>
  <si>
    <t>Kontinuierliche Auswertung Anlagenparameter (Temperatur, Geräusche etc.) und Prognose Ausfälle sowie Empfehlung vorbeugende Wartung</t>
  </si>
  <si>
    <t>Revision</t>
  </si>
  <si>
    <t>Aufspüren von Unregelmäßigkeiten,  Manipulationen und kriminellen Handlungen</t>
  </si>
  <si>
    <t>Automatische Betrugs- und Korruptionserkennung durch Scannen von Geschäftsvorfällen/-vorgängen</t>
  </si>
  <si>
    <t>Lager</t>
  </si>
  <si>
    <t>Bestandsüberwachung/-optimierung</t>
  </si>
  <si>
    <t>Auswertung von Bestandsparametern und -einflussgrößen zur Vorhersage und Optmierung von Materialbestandsmengen und -werten</t>
  </si>
  <si>
    <t>Losgrößen- und Reihenfolgeplanung</t>
  </si>
  <si>
    <t>Dynamische Losgrößen- und Reihenfolgeplanung unter Berücksichtigung von Lieferfähigkeit, Bestands- und Rüstkosten</t>
  </si>
  <si>
    <t>Beispiel zu Arbeitshilfe 2-2</t>
  </si>
  <si>
    <r>
      <t xml:space="preserve"> </t>
    </r>
    <r>
      <rPr>
        <b/>
        <sz val="14"/>
        <color theme="0"/>
        <rFont val="Arial"/>
        <family val="2"/>
      </rPr>
      <t>KI-Potenzial</t>
    </r>
    <r>
      <rPr>
        <sz val="12"/>
        <color theme="0"/>
        <rFont val="Arial"/>
        <family val="2"/>
      </rPr>
      <t xml:space="preserve"> - Nutzen/Chance und Aufwand/Risiko KI-Anwendung</t>
    </r>
  </si>
  <si>
    <t>Chatbot zur automatisierten Beantwortung von Kundenanfragen im Kundendienst</t>
  </si>
  <si>
    <t>Bearbeitung Kundenanfragen</t>
  </si>
  <si>
    <t>Investitions-/Anschaffungskosten</t>
  </si>
  <si>
    <t>Qualitätsverbesserung (Fehlerquote Produkte, Prozesse)</t>
  </si>
  <si>
    <t>Laufende Betriebskosten</t>
  </si>
  <si>
    <t>Kosteneinsparung (Produkte, Dienstleistung, Prozess)</t>
  </si>
  <si>
    <t>Aufwand für Pflege, Wartung, Instandhaltung (Hard-/Software)</t>
  </si>
  <si>
    <t>Effizienzsteigerung (Prozessproduktivität)</t>
  </si>
  <si>
    <t>Projektlaufzeit/Umsetzungsdauer</t>
  </si>
  <si>
    <t>Kapazitätserweiterung/-ausbau</t>
  </si>
  <si>
    <t>Interner Personalaufwand (Kapazitätsbedarf)</t>
  </si>
  <si>
    <t xml:space="preserve">Flexibilitätsverbesserung (Verfügbarkeit, Reaktionsfähigkeit) </t>
  </si>
  <si>
    <t>Abhängigkeit von externen KI-Dienstleistern (Hard-/Software)</t>
  </si>
  <si>
    <t>Verbesserung Produkt-/Dienstleistungssicherheit</t>
  </si>
  <si>
    <t>Informationssicherheitsrisiko Firmenwissen</t>
  </si>
  <si>
    <t>Verbesserung Arbeits- und Gesundheitsschutz</t>
  </si>
  <si>
    <t>Kundenakzeptanzrisiko</t>
  </si>
  <si>
    <t>Reduzierung Arbeitsbelastung/verbesserte Ergonomie</t>
  </si>
  <si>
    <t>Technisches Änderungsrisiko (Verfügbarkeit ET, Service)</t>
  </si>
  <si>
    <t>Verbesserung Rechtssicherheit/Compliance</t>
  </si>
  <si>
    <t>Energieverbrauch</t>
  </si>
  <si>
    <t>Höhere Unabhängigkeit des Unternehmens</t>
  </si>
  <si>
    <t>Arbeitsplatzverlust/Know-how-Verlust eigene Fachkräfte</t>
  </si>
  <si>
    <t>Standardisierung/Stabilisierung Prozesse und Ergebnisse</t>
  </si>
  <si>
    <t>Gefahr von Rechts-/Complianceproblemen</t>
  </si>
  <si>
    <t>Verbesserung von Umwelt-/Klimaschutz</t>
  </si>
  <si>
    <t>Akzeptanzrisiko/Widerstand interne Beschäftigte/Beteiligte</t>
  </si>
  <si>
    <t>Verbesserung Wettbewerbsfähigkeit</t>
  </si>
  <si>
    <t>Schulungs-/Trainingsaufwand</t>
  </si>
  <si>
    <t>Verbesserung Störungs-/Krisenfestigkeit (Resilienz)</t>
  </si>
  <si>
    <t>Vertragsrisiken mit externen Partnern</t>
  </si>
  <si>
    <t>Beispiel zu Arbeitshilfe 2-3</t>
  </si>
  <si>
    <t>3</t>
  </si>
  <si>
    <t>8.</t>
  </si>
  <si>
    <t>Bedarfsprognose und Vorhersage von Kundenbestellungen und Absatzmengen</t>
  </si>
  <si>
    <t>3.</t>
  </si>
  <si>
    <t>2</t>
  </si>
  <si>
    <t>Automatische Erfassung und Abwicklung von schriftlichen Kundenbestellungen</t>
  </si>
  <si>
    <t>4.</t>
  </si>
  <si>
    <t>5</t>
  </si>
  <si>
    <t xml:space="preserve">Prognose Anlagenausfälle und vorbeugende Wartung </t>
  </si>
  <si>
    <t>2.</t>
  </si>
  <si>
    <t>Revsion</t>
  </si>
  <si>
    <t>6</t>
  </si>
  <si>
    <t>Vorhersage und Optimierung von Materialbestandsmengen und -werten</t>
  </si>
  <si>
    <t>1.</t>
  </si>
  <si>
    <t>4</t>
  </si>
  <si>
    <t>Dynamische Losgrößen- und Reihenfolgeplanung unter Berücksichtigung von Produktverfügbarkeit, Liefer-/Druchlaufzeiten und Rüstkosten</t>
  </si>
  <si>
    <t>Automatische Rechnungsverarbeitung (Texterkennung und -verarbeitung)</t>
  </si>
  <si>
    <t>5.</t>
  </si>
  <si>
    <t>10</t>
  </si>
  <si>
    <t>Datengestütze, präventive Produkt- und Prozessüberwachung</t>
  </si>
  <si>
    <t>6.</t>
  </si>
  <si>
    <t>9.</t>
  </si>
  <si>
    <t>8</t>
  </si>
  <si>
    <t>Betrugs- und Korruptionserkennung durch KI-gestützte Analyse Geschäftsvorfälle</t>
  </si>
  <si>
    <t>7.</t>
  </si>
  <si>
    <t>7</t>
  </si>
  <si>
    <t>9</t>
  </si>
  <si>
    <t xml:space="preserve">Dynamische Losgrößen- und Reihenfolgeplanung </t>
  </si>
  <si>
    <t>Beispiel zu Arbeitshilfe 3-1</t>
  </si>
  <si>
    <t>Beispiel zu Arbeitshilfe 3-2</t>
  </si>
  <si>
    <t>Chatbot zur Bearbeitung Kundenanfragen</t>
  </si>
  <si>
    <t>Kundendienst</t>
  </si>
  <si>
    <r>
      <t xml:space="preserve">[ </t>
    </r>
    <r>
      <rPr>
        <b/>
        <sz val="10"/>
        <color theme="1"/>
        <rFont val="Arial"/>
        <family val="2"/>
      </rPr>
      <t>X</t>
    </r>
    <r>
      <rPr>
        <sz val="10"/>
        <color theme="1"/>
        <rFont val="Arial"/>
        <family val="2"/>
      </rPr>
      <t xml:space="preserve"> ] hoch = 2</t>
    </r>
  </si>
  <si>
    <r>
      <t xml:space="preserve">[ </t>
    </r>
    <r>
      <rPr>
        <b/>
        <sz val="10"/>
        <color theme="1"/>
        <rFont val="Arial"/>
        <family val="2"/>
      </rPr>
      <t>X</t>
    </r>
    <r>
      <rPr>
        <sz val="10"/>
        <color theme="1"/>
        <rFont val="Arial"/>
        <family val="2"/>
      </rPr>
      <t xml:space="preserve"> ] sehr hoch = 3</t>
    </r>
  </si>
  <si>
    <t>[  ] nein = 0</t>
  </si>
  <si>
    <t>[  ] zum Teil = 1</t>
  </si>
  <si>
    <r>
      <t xml:space="preserve">[ </t>
    </r>
    <r>
      <rPr>
        <b/>
        <sz val="10"/>
        <color theme="1"/>
        <rFont val="Arial"/>
        <family val="2"/>
      </rPr>
      <t>X</t>
    </r>
    <r>
      <rPr>
        <sz val="10"/>
        <color theme="1"/>
        <rFont val="Arial"/>
        <family val="2"/>
      </rPr>
      <t xml:space="preserve"> ] überwiegend = 2</t>
    </r>
  </si>
  <si>
    <t>[  ] vollständig = 3</t>
  </si>
  <si>
    <t>[  ] nein = 2</t>
  </si>
  <si>
    <r>
      <t xml:space="preserve">[ </t>
    </r>
    <r>
      <rPr>
        <b/>
        <sz val="10"/>
        <color theme="1"/>
        <rFont val="Arial"/>
        <family val="2"/>
      </rPr>
      <t>X</t>
    </r>
    <r>
      <rPr>
        <sz val="10"/>
        <color theme="1"/>
        <rFont val="Arial"/>
        <family val="2"/>
      </rPr>
      <t xml:space="preserve"> ] häufig = 2</t>
    </r>
  </si>
  <si>
    <t>[  ] permanent = 3</t>
  </si>
  <si>
    <t>[  ] nur eine = 1</t>
  </si>
  <si>
    <t>[  ] mehrere = 2</t>
  </si>
  <si>
    <r>
      <t xml:space="preserve">[ </t>
    </r>
    <r>
      <rPr>
        <b/>
        <sz val="10"/>
        <color theme="1"/>
        <rFont val="Arial"/>
        <family val="2"/>
      </rPr>
      <t>X</t>
    </r>
    <r>
      <rPr>
        <sz val="10"/>
        <color theme="1"/>
        <rFont val="Arial"/>
        <family val="2"/>
      </rPr>
      <t xml:space="preserve"> ] viele intensiv = 3</t>
    </r>
  </si>
  <si>
    <t>[  ] ja = 0</t>
  </si>
  <si>
    <t>[  ] vielleicht = 1</t>
  </si>
  <si>
    <t>[  ] eher nicht = 2</t>
  </si>
  <si>
    <r>
      <t xml:space="preserve">[ </t>
    </r>
    <r>
      <rPr>
        <b/>
        <sz val="10"/>
        <color theme="1"/>
        <rFont val="Arial"/>
        <family val="2"/>
      </rPr>
      <t>X</t>
    </r>
    <r>
      <rPr>
        <sz val="10"/>
        <color theme="1"/>
        <rFont val="Arial"/>
        <family val="2"/>
      </rPr>
      <t xml:space="preserve"> ] nein = 3</t>
    </r>
  </si>
  <si>
    <t xml:space="preserve">Gesamt-KI-Machbarkeitswert: </t>
  </si>
  <si>
    <t>Beispiel zu Arbeitshilfe 3-3</t>
  </si>
  <si>
    <t>KI-basierte Kundenberatung im Onlinevertrieb</t>
  </si>
  <si>
    <t>Die gemeinsam mit einem externen Softwareanbieter stellt eine KI-basierte Produktberatung für den Online-Handel dar. Mithilfe eines intelligenten Product Guides werden den Kunden auf ihre individuellen Bedürfnisse zugeschnittene Produkte angeboten. Mit erfahrenden Verkaufsberatern wird hierzu ein Produktleitfaden erstellt der die Kundenbedürfnisse und Produktanwendungsbereiche erfasst. Basierend auf dem Leitfaden bekommen Kunden im Online-Shop fragen zur geplanten Produktvewendung, Anforderungen und Wünschen gestellt. Ein interaktives, wissenbasiertes Empfehlungssystem nimmt einen KI-basierten, dynamischen Abgleich von Kundenpräferenzen und Produktsortiment vor und schlägt den Kunden möglichst passgenaue Produkte vor. Gleichzeitig lernt der ML-basierte Produkt Guide bei jeder Beratungssession weiter. Das VErfahren kann auch ohne große Mengen von Produktdaten eingesetzt werden. Einzelne Produkte können mit neuen Attributen (z. B. Verwendungszwecken) versehen werden. Durch ML-basierte Verfahren (automatische Bilderkennung) können anschliessend einer großen Menge von Produkte weitere Attribute zugeordnet werden. Ziele der Anwendung sind: Umsatzsteigerung im Online-Handel (+20%), reduzierte Retourenquote (-30%) und Nutzung der Erkenntnisse für ein besseres Marketing und Produktmanagement.</t>
  </si>
  <si>
    <t>Projektleitung</t>
  </si>
  <si>
    <t>Schulze M.</t>
  </si>
  <si>
    <t>Meier O.</t>
  </si>
  <si>
    <t>KMU GmbH / KI-Solution GmbH</t>
  </si>
  <si>
    <t>Mischkalkulation intern/extern</t>
  </si>
  <si>
    <t>Prozessplaner</t>
  </si>
  <si>
    <t>Well M.</t>
  </si>
  <si>
    <t>Kruse F.</t>
  </si>
  <si>
    <t xml:space="preserve">KMU GmbH </t>
  </si>
  <si>
    <t>Prozessanwender</t>
  </si>
  <si>
    <t>Systemadministrator</t>
  </si>
  <si>
    <t>Dreier C</t>
  </si>
  <si>
    <t>Programmierer</t>
  </si>
  <si>
    <t>Feisal A.</t>
  </si>
  <si>
    <t>Kadiri S.</t>
  </si>
  <si>
    <t>KI-Solution GmbH</t>
  </si>
  <si>
    <t>gemäß Angebot</t>
  </si>
  <si>
    <t>KI-Experte</t>
  </si>
  <si>
    <t>Datensammlung und -auffbereitung für Produktleitfaden</t>
  </si>
  <si>
    <t>Weil, Kruse,Meier</t>
  </si>
  <si>
    <t>Modellierung Produktempfehlungssystem</t>
  </si>
  <si>
    <t>Schulze, Weil,Kruse</t>
  </si>
  <si>
    <t>Programmierung KI-Anwendung</t>
  </si>
  <si>
    <t xml:space="preserve"> -</t>
  </si>
  <si>
    <t>Feisal</t>
  </si>
  <si>
    <t>Kadiri</t>
  </si>
  <si>
    <t>Einlernen und Optimierung Modell und Beratungsergebnisse</t>
  </si>
  <si>
    <t>Implementierung und Betrieb Online-Verkaufsberatung</t>
  </si>
  <si>
    <t>Meier, Schulze</t>
  </si>
  <si>
    <t>IT-Hardware</t>
  </si>
  <si>
    <t>Nutzung vorhandene Server-, Datenerfassungssysteme und User-Endgeräte</t>
  </si>
  <si>
    <t>siehe Inventarliste</t>
  </si>
  <si>
    <t>Betriebssysteme</t>
  </si>
  <si>
    <t>ERP-System SAP/R3 und Betriebssystem Windows</t>
  </si>
  <si>
    <t>Datenspeicherkonzept</t>
  </si>
  <si>
    <t>Lokale Datenspeicherung auf eigenen Servern</t>
  </si>
  <si>
    <t>ggf. Erweiterung Datenspeichermenge</t>
  </si>
  <si>
    <t>Serversysteme AG</t>
  </si>
  <si>
    <t>8 Wochen</t>
  </si>
  <si>
    <t>3.000 €/TB</t>
  </si>
  <si>
    <t>Programmiertools</t>
  </si>
  <si>
    <t>Verwendung lizensierte Progammiertools KI-Solution GmbH</t>
  </si>
  <si>
    <t>KI-Soltuion GmbH</t>
  </si>
  <si>
    <t>Test &amp; Wartung</t>
  </si>
  <si>
    <t>Bereitstellung spezielle Test-/Wartungstools durch KI-Soltution GmbH</t>
  </si>
  <si>
    <t>Spezialttools</t>
  </si>
  <si>
    <t>1 Woche</t>
  </si>
  <si>
    <t>150€/Monat</t>
  </si>
  <si>
    <t>Sicherheit</t>
  </si>
  <si>
    <t>Nutzung vorhandene Sicherheitssoftware für IT-Systeme und Online-Dienste</t>
  </si>
  <si>
    <t>KI-Verfahren</t>
  </si>
  <si>
    <t>überwachtes Maschine Learning</t>
  </si>
  <si>
    <t>KI-Methode</t>
  </si>
  <si>
    <t>Clusteranalyse und Wissensmanagement</t>
  </si>
  <si>
    <t>KI-Fähigkeiten</t>
  </si>
  <si>
    <t>Sprach-/Textverarbeitung, Bilderkennung, eigenständiges Lernen</t>
  </si>
  <si>
    <t>KI-Tools</t>
  </si>
  <si>
    <t>Webservice (KI-as-a-Service)</t>
  </si>
  <si>
    <t>Sonstges</t>
  </si>
  <si>
    <t>Beispiel zu Arbeitshilfe 4-1</t>
  </si>
  <si>
    <t>Chatbot im Kundenservice</t>
  </si>
  <si>
    <t>Modellierung</t>
  </si>
  <si>
    <t>Beschreibung Anwendungsmodell (IT, KI, Bedienung)</t>
  </si>
  <si>
    <t>Müller K., Meier O., Feisal A.</t>
  </si>
  <si>
    <t>Weil M., Kruse F.</t>
  </si>
  <si>
    <t>Programmierung</t>
  </si>
  <si>
    <t>Erstellung Programme</t>
  </si>
  <si>
    <t>Feisal A., Kadiri S.</t>
  </si>
  <si>
    <t>Datenaufbereitung</t>
  </si>
  <si>
    <t>Prüfung, Strukturierung und Aufbereitung Daten</t>
  </si>
  <si>
    <t>Prototyp</t>
  </si>
  <si>
    <t>Erstellung und Vorstellung erster Prototyp</t>
  </si>
  <si>
    <t>Kraus D., Feisal A.</t>
  </si>
  <si>
    <t>Dreier C., Weil M.</t>
  </si>
  <si>
    <t>Detaillierung &amp; Optimierung</t>
  </si>
  <si>
    <t>Anwendungsoptimierung nach Kundenwunsch</t>
  </si>
  <si>
    <t>Test &amp; Freigabe</t>
  </si>
  <si>
    <t>Testläufe der erstellten Anwendung</t>
  </si>
  <si>
    <t>Kraus D., Meier O.</t>
  </si>
  <si>
    <t>Implementierung &amp; Abnahme</t>
  </si>
  <si>
    <t>Einführung Anwendung in realer Arbeitsumgebung</t>
  </si>
  <si>
    <t>Beispiel zu Arbeitshilfe 4-2</t>
  </si>
  <si>
    <t>Chatbot Kundenservice</t>
  </si>
  <si>
    <t>Erstellung eines Schulungskonzepts für die Anwender</t>
  </si>
  <si>
    <t>Wilhelm, C</t>
  </si>
  <si>
    <t>Dreier C.</t>
  </si>
  <si>
    <t>Erstellung Schulungsunterlagen</t>
  </si>
  <si>
    <t>Durchführung Anwendungsschulungen</t>
  </si>
  <si>
    <t>alle Beteiligten und User</t>
  </si>
  <si>
    <t>Detailabstimmung der technischen Implementierung</t>
  </si>
  <si>
    <t>Datenmigration (Datenmapping, -bereinigung, -übernahme)</t>
  </si>
  <si>
    <t>Installation Programme auf Produktivsystem</t>
  </si>
  <si>
    <t>Anpassung Schnittstellen und System-/Anwendungseinstellungen</t>
  </si>
  <si>
    <t>Onlineschaltung Anwendung</t>
  </si>
  <si>
    <t>Anlaufüberwachung und -betreuung (vor Ort/Remote)</t>
  </si>
  <si>
    <t>Review Einführungsergebnisse</t>
  </si>
  <si>
    <t>alle Beteiligten</t>
  </si>
  <si>
    <t>Beispiel zu Arbeitshilfe 4-3</t>
  </si>
  <si>
    <t>Antwortzeit</t>
  </si>
  <si>
    <t>4 Sterne</t>
  </si>
  <si>
    <t>3 Wochen</t>
  </si>
  <si>
    <t>174 St</t>
  </si>
  <si>
    <t>150 St</t>
  </si>
  <si>
    <t>3,5 Sterne</t>
  </si>
  <si>
    <t>4 Sec</t>
  </si>
  <si>
    <t>2 Sec</t>
  </si>
  <si>
    <t>Anwendung antwortet nicht mehr, Neustart durchgeführt</t>
  </si>
  <si>
    <t>Datenverbindung zum Server gestört</t>
  </si>
  <si>
    <t>Kundenbeschwerde über unsinnige Chatbotantwort (Gesprächsprotokoll)</t>
  </si>
  <si>
    <t>Naumann B.</t>
  </si>
  <si>
    <t>Kraus D.</t>
  </si>
  <si>
    <t>Beispiel zu Arbeitshilfe 5-1</t>
  </si>
  <si>
    <t>Chatbot für Serviceanfragen</t>
  </si>
  <si>
    <t>Übernahmefunktion für Service nicht klar</t>
  </si>
  <si>
    <t>Überarbeitung und Durchführung ergänzender Schulungsmaßnahme</t>
  </si>
  <si>
    <t>Antwortzeiten Chatbot zu lang</t>
  </si>
  <si>
    <t>Verbesserung der Leistungsperfermance in Programmierung</t>
  </si>
  <si>
    <t>Abstürze System bei hohem Anfrageaufkommen</t>
  </si>
  <si>
    <t>Urachenanalyse</t>
  </si>
  <si>
    <t>Beispiel zu Arbeitshilfe 5-2</t>
  </si>
  <si>
    <t>Chatbot für Kundenserviceanfragen</t>
  </si>
  <si>
    <t>KI-Anwendungsziele</t>
  </si>
  <si>
    <t>Quantitative Erfolgsbewertung - Kennzahlen</t>
  </si>
  <si>
    <t>Qualitative Erfolgsbewertung - Verbesserung</t>
  </si>
  <si>
    <t>Wirtschaft</t>
  </si>
  <si>
    <t>Ausweitung der Serviceverfügbarkeitszeit für Kunden</t>
  </si>
  <si>
    <t>Verfügbarkeitszeit [Std/Woche]</t>
  </si>
  <si>
    <t>Reduzierung Fälle fehlender Erreichbarkeit Service</t>
  </si>
  <si>
    <t>Anzahl Fälle pro Monat [St]</t>
  </si>
  <si>
    <t>Verbesserung der Kundenzufriedenheit mit Servicehilfe</t>
  </si>
  <si>
    <t>Kundenbewertung von 0 bis 5 Sterne [-]</t>
  </si>
  <si>
    <t xml:space="preserve"> 1.4</t>
  </si>
  <si>
    <t>Reduzierung Personalbedarf für Kundenservice</t>
  </si>
  <si>
    <t>Servicetätigkeitszeit Personal [Std/Woche]</t>
  </si>
  <si>
    <t xml:space="preserve"> 1.5</t>
  </si>
  <si>
    <t>Verbesserung der Serviceprozesseffizienz</t>
  </si>
  <si>
    <t>Servicezeit pro Kunde [Min]</t>
  </si>
  <si>
    <t xml:space="preserve"> 1.6</t>
  </si>
  <si>
    <t>Verbesserung Reaktionsfähigkeit auf Kapazitätsbedarsschwankungen</t>
  </si>
  <si>
    <t>Max. Anzahl paralleler Kundenanfragen [St]</t>
  </si>
  <si>
    <t>Umwelt</t>
  </si>
  <si>
    <t xml:space="preserve"> 2.1</t>
  </si>
  <si>
    <t>Reduzierung Energieverbrauch Serviceabteilung</t>
  </si>
  <si>
    <t>Stromverbrauch [kWh/Monat]</t>
  </si>
  <si>
    <t xml:space="preserve"> 2.2</t>
  </si>
  <si>
    <t>Beitrag KI-Anwendung zur Reduzierung CO2-Emission Unternehmen</t>
  </si>
  <si>
    <t>keine Kennzahl vorhanden</t>
  </si>
  <si>
    <t xml:space="preserve"> 2.3</t>
  </si>
  <si>
    <t xml:space="preserve"> 2.4</t>
  </si>
  <si>
    <t xml:space="preserve"> 2.5</t>
  </si>
  <si>
    <t xml:space="preserve"> 3.1</t>
  </si>
  <si>
    <t>Überstunden [Std/Monat]</t>
  </si>
  <si>
    <t xml:space="preserve"> 3.2</t>
  </si>
  <si>
    <t xml:space="preserve"> 3.3</t>
  </si>
  <si>
    <t xml:space="preserve"> 3.4</t>
  </si>
  <si>
    <t xml:space="preserve"> 3.5</t>
  </si>
  <si>
    <t>Konformität zu rechtlichen Anforderungen</t>
  </si>
  <si>
    <t>Wissen/Technik</t>
  </si>
  <si>
    <t xml:space="preserve"> 4.1</t>
  </si>
  <si>
    <t>Schutz von Prozess-/Firmenwissen</t>
  </si>
  <si>
    <t xml:space="preserve"> 4.2</t>
  </si>
  <si>
    <t>Verbesserung von KI-Kompetenz im Unternehmen</t>
  </si>
  <si>
    <t xml:space="preserve"> 4.3</t>
  </si>
  <si>
    <t>Verbesserung technische KI-Austattung Unternehmen</t>
  </si>
  <si>
    <t xml:space="preserve"> 4.4</t>
  </si>
  <si>
    <t>Realisierung Stand der Technik im Servicebereich</t>
  </si>
  <si>
    <t xml:space="preserve"> 4.5</t>
  </si>
  <si>
    <t>Verbesserung technologische Wettbewerbsfähigkeit</t>
  </si>
  <si>
    <t>Beispiel zu Arbeitshilfe 5-3</t>
  </si>
  <si>
    <t>Kundenservice</t>
  </si>
  <si>
    <t xml:space="preserve">  2  Entscheidung weitere Vorgehensweise</t>
  </si>
  <si>
    <t>Prüfung der Übertragbarkeit und Machbarkeit der KI-Anwendung zur automatisierten Beantwortung von Bestellanfragen im Vertrieb und Bewerberanfragen im Personalbereich.</t>
  </si>
  <si>
    <t>Einstimmig entschieden durch KI-Kernteam in Steuerkreissitzung vom 03.09.23.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</si>
</sst>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7">
    <font>
      <sz val="11"/>
      <color theme="1"/>
      <name val="Calibri"/>
      <family val="2"/>
      <scheme val="minor"/>
    </font>
    <font>
      <sz val="12"/>
      <color theme="1"/>
      <name val="Arial"/>
      <family val="2"/>
    </font>
    <font>
      <b/>
      <sz val="14"/>
      <color theme="1"/>
      <name val="Arial"/>
      <family val="2"/>
    </font>
    <font>
      <sz val="11"/>
      <color theme="0"/>
      <name val="Calibri"/>
      <family val="2"/>
      <scheme val="minor"/>
    </font>
    <font>
      <sz val="10"/>
      <color theme="1"/>
      <name val="Arial"/>
      <family val="2"/>
    </font>
    <font>
      <sz val="10"/>
      <color theme="0"/>
      <name val="Arial"/>
      <family val="2"/>
    </font>
    <font>
      <sz val="9"/>
      <color theme="1"/>
      <name val="Arial"/>
      <family val="2"/>
    </font>
    <font>
      <sz val="9"/>
      <color theme="0"/>
      <name val="Arial"/>
      <family val="2"/>
    </font>
    <font>
      <sz val="10"/>
      <color rgb="FFFFFFFF"/>
      <name val="Arial"/>
      <family val="2"/>
    </font>
    <font>
      <sz val="8"/>
      <color rgb="FFFFFFFF"/>
      <name val="Arial"/>
      <family val="2"/>
    </font>
    <font>
      <u/>
      <sz val="11"/>
      <color theme="10"/>
      <name val="Calibri"/>
      <family val="2"/>
      <scheme val="minor"/>
    </font>
    <font>
      <b/>
      <sz val="14"/>
      <color theme="0"/>
      <name val="Arial"/>
      <family val="2"/>
    </font>
    <font>
      <sz val="11"/>
      <color theme="0"/>
      <name val="Arial"/>
      <family val="2"/>
    </font>
    <font>
      <sz val="11"/>
      <color theme="1"/>
      <name val="Arial"/>
      <family val="2"/>
    </font>
    <font>
      <b/>
      <sz val="11"/>
      <color theme="0"/>
      <name val="Calibri"/>
      <family val="2"/>
      <scheme val="minor"/>
    </font>
    <font>
      <b/>
      <sz val="11"/>
      <color theme="1"/>
      <name val="Arial"/>
      <family val="2"/>
    </font>
    <font>
      <b/>
      <sz val="11"/>
      <color theme="0"/>
      <name val="Arial"/>
      <family val="2"/>
    </font>
    <font>
      <sz val="12"/>
      <color rgb="FF002060"/>
      <name val="Arial"/>
      <family val="2"/>
    </font>
    <font>
      <sz val="10"/>
      <color theme="0"/>
      <name val="Calibri"/>
      <family val="2"/>
      <scheme val="minor"/>
    </font>
    <font>
      <b/>
      <sz val="16"/>
      <color theme="1"/>
      <name val="Arial"/>
      <family val="2"/>
    </font>
    <font>
      <i/>
      <sz val="8"/>
      <color rgb="FF002060"/>
      <name val="Arial"/>
      <family val="2"/>
    </font>
    <font>
      <sz val="11"/>
      <color rgb="FF002060"/>
      <name val="Arial"/>
      <family val="2"/>
    </font>
    <font>
      <u/>
      <sz val="12"/>
      <color rgb="FF002060"/>
      <name val="Arial"/>
      <family val="2"/>
    </font>
    <font>
      <b/>
      <sz val="14"/>
      <color theme="4" tint="-0.499984740745262"/>
      <name val="Arial"/>
      <family val="2"/>
    </font>
    <font>
      <b/>
      <sz val="16"/>
      <color theme="4" tint="-0.499984740745262"/>
      <name val="Arial"/>
      <family val="2"/>
    </font>
    <font>
      <sz val="8"/>
      <color theme="4" tint="-0.499984740745262"/>
      <name val="Arial"/>
      <family val="2"/>
    </font>
    <font>
      <b/>
      <sz val="10"/>
      <color theme="1"/>
      <name val="Arial"/>
      <family val="2"/>
    </font>
    <font>
      <u/>
      <sz val="10"/>
      <color theme="1"/>
      <name val="Arial"/>
      <family val="2"/>
    </font>
    <font>
      <i/>
      <sz val="10"/>
      <color theme="1"/>
      <name val="Arial"/>
      <family val="2"/>
    </font>
    <font>
      <u/>
      <sz val="11"/>
      <color theme="1"/>
      <name val="Arial"/>
      <family val="2"/>
    </font>
    <font>
      <u/>
      <sz val="14"/>
      <color rgb="FF002060"/>
      <name val="Arial"/>
      <family val="2"/>
    </font>
    <font>
      <sz val="14"/>
      <color rgb="FF002060"/>
      <name val="Arial"/>
      <family val="2"/>
    </font>
    <font>
      <sz val="14"/>
      <color rgb="FF003A6D"/>
      <name val="Arial"/>
      <family val="2"/>
    </font>
    <font>
      <i/>
      <sz val="11"/>
      <color theme="1"/>
      <name val="Arial"/>
      <family val="2"/>
    </font>
    <font>
      <i/>
      <sz val="12"/>
      <color theme="1"/>
      <name val="Calibri"/>
      <family val="2"/>
      <scheme val="minor"/>
    </font>
    <font>
      <i/>
      <sz val="11"/>
      <color theme="3" tint="-0.249977111117893"/>
      <name val="Arial"/>
      <family val="2"/>
    </font>
    <font>
      <i/>
      <sz val="11"/>
      <color theme="3" tint="-0.249977111117893"/>
      <name val="Calibri"/>
      <family val="2"/>
      <scheme val="minor"/>
    </font>
    <font>
      <i/>
      <u/>
      <sz val="11"/>
      <color theme="3" tint="-0.249977111117893"/>
      <name val="Calibri"/>
      <family val="2"/>
      <scheme val="minor"/>
    </font>
    <font>
      <sz val="14"/>
      <color theme="0"/>
      <name val="Arial"/>
      <family val="2"/>
    </font>
    <font>
      <b/>
      <sz val="12"/>
      <color theme="0"/>
      <name val="Arial"/>
      <family val="2"/>
    </font>
    <font>
      <b/>
      <sz val="12"/>
      <color theme="0"/>
      <name val="Calibri"/>
      <family val="2"/>
      <scheme val="minor"/>
    </font>
    <font>
      <i/>
      <sz val="12"/>
      <color theme="3" tint="-0.249977111117893"/>
      <name val="Arial"/>
      <family val="2"/>
    </font>
    <font>
      <sz val="10"/>
      <color theme="3" tint="-0.249977111117893"/>
      <name val="Arial"/>
      <family val="2"/>
    </font>
    <font>
      <i/>
      <sz val="10"/>
      <color theme="3" tint="-0.249977111117893"/>
      <name val="Arial"/>
      <family val="2"/>
    </font>
    <font>
      <sz val="16"/>
      <color theme="1"/>
      <name val="Arial"/>
      <family val="2"/>
    </font>
    <font>
      <u/>
      <sz val="10"/>
      <color theme="3" tint="-0.249977111117893"/>
      <name val="Arial"/>
      <family val="2"/>
    </font>
    <font>
      <b/>
      <i/>
      <sz val="12"/>
      <color theme="3" tint="-0.249977111117893"/>
      <name val="Arial"/>
      <family val="2"/>
    </font>
    <font>
      <b/>
      <sz val="11"/>
      <color theme="3" tint="-0.249977111117893"/>
      <name val="Arial"/>
      <family val="2"/>
    </font>
    <font>
      <i/>
      <sz val="11"/>
      <color theme="1"/>
      <name val="Calibri"/>
      <family val="2"/>
      <scheme val="minor"/>
    </font>
    <font>
      <i/>
      <sz val="9"/>
      <color theme="1"/>
      <name val="Arial"/>
      <family val="2"/>
    </font>
    <font>
      <sz val="9"/>
      <color theme="1"/>
      <name val="Calibri"/>
      <family val="2"/>
      <scheme val="minor"/>
    </font>
    <font>
      <sz val="10"/>
      <color theme="1"/>
      <name val="Calibri"/>
      <family val="2"/>
      <scheme val="minor"/>
    </font>
    <font>
      <b/>
      <sz val="8"/>
      <color theme="1"/>
      <name val="Arial"/>
      <family val="2"/>
    </font>
    <font>
      <sz val="12"/>
      <color theme="0"/>
      <name val="Arial"/>
      <family val="2"/>
    </font>
    <font>
      <b/>
      <sz val="10"/>
      <color theme="0"/>
      <name val="Arial"/>
      <family val="2"/>
    </font>
    <font>
      <i/>
      <sz val="10"/>
      <color theme="3" tint="-0.499984740745262"/>
      <name val="Arial"/>
      <family val="2"/>
    </font>
    <font>
      <b/>
      <sz val="12"/>
      <color theme="1"/>
      <name val="Arial"/>
      <family val="2"/>
    </font>
    <font>
      <sz val="14"/>
      <color theme="1"/>
      <name val="Arial"/>
      <family val="2"/>
    </font>
    <font>
      <i/>
      <sz val="11"/>
      <color theme="3" tint="-0.499984740745262"/>
      <name val="Arial"/>
      <family val="2"/>
    </font>
    <font>
      <sz val="11"/>
      <color rgb="FFFFFFFF"/>
      <name val="Arial"/>
      <family val="2"/>
    </font>
    <font>
      <b/>
      <sz val="12"/>
      <color theme="1"/>
      <name val="Calibri"/>
      <family val="2"/>
      <scheme val="minor"/>
    </font>
    <font>
      <sz val="10"/>
      <name val="Arial"/>
      <family val="2"/>
    </font>
    <font>
      <b/>
      <sz val="11"/>
      <name val="Arial"/>
      <family val="2"/>
    </font>
    <font>
      <sz val="11"/>
      <color theme="4" tint="-0.499984740745262"/>
      <name val="Arial"/>
      <family val="2"/>
    </font>
    <font>
      <sz val="12"/>
      <color theme="0"/>
      <name val="Calibri"/>
      <family val="2"/>
      <scheme val="minor"/>
    </font>
    <font>
      <i/>
      <sz val="10"/>
      <color theme="3" tint="-0.499984740745262"/>
      <name val="Calibri"/>
      <family val="2"/>
      <scheme val="minor"/>
    </font>
    <font>
      <i/>
      <sz val="11"/>
      <color theme="3" tint="-0.499984740745262"/>
      <name val="Calibri"/>
      <family val="2"/>
      <scheme val="minor"/>
    </font>
    <font>
      <b/>
      <i/>
      <sz val="11"/>
      <color theme="1"/>
      <name val="Arial"/>
      <family val="2"/>
    </font>
    <font>
      <b/>
      <i/>
      <sz val="11"/>
      <color theme="0"/>
      <name val="Arial"/>
      <family val="2"/>
    </font>
    <font>
      <i/>
      <sz val="10"/>
      <name val="Arial"/>
      <family val="2"/>
    </font>
    <font>
      <i/>
      <sz val="10"/>
      <name val="Calibri"/>
      <family val="2"/>
      <scheme val="minor"/>
    </font>
    <font>
      <i/>
      <sz val="11"/>
      <name val="Calibri"/>
      <family val="2"/>
      <scheme val="minor"/>
    </font>
    <font>
      <sz val="11"/>
      <name val="Arial"/>
      <family val="2"/>
    </font>
    <font>
      <b/>
      <sz val="12"/>
      <name val="Arial"/>
      <family val="2"/>
    </font>
    <font>
      <i/>
      <sz val="11"/>
      <name val="Arial"/>
      <family val="2"/>
    </font>
    <font>
      <sz val="14"/>
      <name val="Arial"/>
      <family val="2"/>
    </font>
    <font>
      <sz val="10"/>
      <color theme="3" tint="0.39997558519241921"/>
      <name val="Arial"/>
      <family val="2"/>
    </font>
    <font>
      <sz val="10"/>
      <color theme="3" tint="0.39997558519241921"/>
      <name val="Calibri"/>
      <family val="2"/>
    </font>
    <font>
      <sz val="10"/>
      <name val="Calibri"/>
      <family val="2"/>
      <scheme val="minor"/>
    </font>
    <font>
      <i/>
      <sz val="10"/>
      <color theme="0"/>
      <name val="Arial"/>
      <family val="2"/>
    </font>
    <font>
      <b/>
      <sz val="18"/>
      <color rgb="FF002060"/>
      <name val="Arial"/>
      <family val="2"/>
    </font>
    <font>
      <i/>
      <sz val="10"/>
      <color theme="1"/>
      <name val="Calibri"/>
      <family val="2"/>
      <scheme val="minor"/>
    </font>
    <font>
      <b/>
      <i/>
      <sz val="10"/>
      <color theme="1"/>
      <name val="Arial"/>
      <family val="2"/>
    </font>
    <font>
      <b/>
      <sz val="10"/>
      <name val="Arial"/>
      <family val="2"/>
    </font>
    <font>
      <sz val="12"/>
      <color theme="1"/>
      <name val="Calibri"/>
      <family val="2"/>
      <scheme val="minor"/>
    </font>
    <font>
      <i/>
      <sz val="10"/>
      <color theme="2" tint="-0.749992370372631"/>
      <name val="Arial"/>
      <family val="2"/>
    </font>
    <font>
      <i/>
      <sz val="11"/>
      <color theme="2" tint="-0.749992370372631"/>
      <name val="Arial"/>
      <family val="2"/>
    </font>
  </fonts>
  <fills count="17">
    <fill>
      <patternFill patternType="none"/>
    </fill>
    <fill>
      <patternFill patternType="gray125"/>
    </fill>
    <fill>
      <patternFill patternType="solid">
        <fgColor theme="9" tint="0.59999389629810485"/>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50"/>
        <bgColor indexed="64"/>
      </patternFill>
    </fill>
    <fill>
      <patternFill patternType="solid">
        <fgColor theme="8" tint="-0.249977111117893"/>
        <bgColor indexed="64"/>
      </patternFill>
    </fill>
    <fill>
      <patternFill patternType="solid">
        <fgColor rgb="FFFF0000"/>
        <bgColor indexed="64"/>
      </patternFill>
    </fill>
    <fill>
      <patternFill patternType="solid">
        <fgColor rgb="FFFFFF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right style="thin">
        <color indexed="64"/>
      </right>
      <top style="thin">
        <color indexed="64"/>
      </top>
      <bottom style="thin">
        <color indexed="64"/>
      </bottom>
      <diagonal/>
    </border>
    <border>
      <left/>
      <right/>
      <top style="thin">
        <color indexed="64"/>
      </top>
      <bottom/>
      <diagonal/>
    </border>
    <border>
      <left style="double">
        <color auto="1"/>
      </left>
      <right style="double">
        <color auto="1"/>
      </right>
      <top style="double">
        <color auto="1"/>
      </top>
      <bottom style="double">
        <color auto="1"/>
      </bottom>
      <diagonal/>
    </border>
    <border>
      <left style="double">
        <color auto="1"/>
      </left>
      <right style="double">
        <color auto="1"/>
      </right>
      <top style="double">
        <color auto="1"/>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auto="1"/>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style="thin">
        <color indexed="64"/>
      </right>
      <top style="thin">
        <color indexed="64"/>
      </top>
      <bottom/>
      <diagonal/>
    </border>
    <border>
      <left style="double">
        <color auto="1"/>
      </left>
      <right style="thin">
        <color indexed="64"/>
      </right>
      <top/>
      <bottom style="double">
        <color auto="1"/>
      </bottom>
      <diagonal/>
    </border>
    <border>
      <left style="thin">
        <color indexed="64"/>
      </left>
      <right style="thin">
        <color indexed="64"/>
      </right>
      <top/>
      <bottom style="double">
        <color auto="1"/>
      </bottom>
      <diagonal/>
    </border>
    <border>
      <left style="double">
        <color indexed="64"/>
      </left>
      <right/>
      <top style="thin">
        <color indexed="64"/>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double">
        <color auto="1"/>
      </top>
      <bottom/>
      <diagonal/>
    </border>
    <border>
      <left style="thin">
        <color indexed="64"/>
      </left>
      <right/>
      <top style="thin">
        <color indexed="64"/>
      </top>
      <bottom style="double">
        <color indexed="64"/>
      </bottom>
      <diagonal/>
    </border>
    <border>
      <left/>
      <right style="double">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836">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right" vertical="center"/>
    </xf>
    <xf numFmtId="17" fontId="4" fillId="0" borderId="0" xfId="0" applyNumberFormat="1" applyFont="1" applyAlignment="1">
      <alignment horizontal="center" vertical="center"/>
    </xf>
    <xf numFmtId="0" fontId="6" fillId="0" borderId="0" xfId="0" applyFont="1" applyAlignment="1">
      <alignment vertical="center"/>
    </xf>
    <xf numFmtId="17" fontId="4" fillId="0" borderId="0" xfId="0" applyNumberFormat="1" applyFont="1" applyAlignment="1">
      <alignment horizontal="left" vertical="center"/>
    </xf>
    <xf numFmtId="0" fontId="1" fillId="0" borderId="0" xfId="0" applyFont="1" applyAlignment="1">
      <alignment vertical="center"/>
    </xf>
    <xf numFmtId="0" fontId="13" fillId="0" borderId="0" xfId="0" applyFont="1" applyAlignment="1">
      <alignment vertical="center"/>
    </xf>
    <xf numFmtId="0" fontId="13" fillId="0" borderId="1" xfId="0" applyFont="1" applyBorder="1" applyAlignment="1">
      <alignment horizontal="left" vertical="center"/>
    </xf>
    <xf numFmtId="0" fontId="5" fillId="6" borderId="1" xfId="0" applyFont="1" applyFill="1" applyBorder="1" applyAlignment="1">
      <alignment horizontal="center" vertical="center"/>
    </xf>
    <xf numFmtId="14" fontId="7" fillId="6" borderId="1" xfId="0" quotePrefix="1" applyNumberFormat="1" applyFont="1" applyFill="1" applyBorder="1" applyAlignment="1">
      <alignment horizontal="center" vertical="center"/>
    </xf>
    <xf numFmtId="0" fontId="13" fillId="6" borderId="8" xfId="0" applyFont="1" applyFill="1" applyBorder="1" applyAlignment="1">
      <alignment vertical="center"/>
    </xf>
    <xf numFmtId="0" fontId="4" fillId="6" borderId="15" xfId="0" applyFont="1" applyFill="1" applyBorder="1" applyAlignment="1">
      <alignment vertical="center"/>
    </xf>
    <xf numFmtId="0" fontId="6" fillId="6" borderId="15" xfId="0" applyFont="1" applyFill="1" applyBorder="1" applyAlignment="1">
      <alignment vertical="center"/>
    </xf>
    <xf numFmtId="0" fontId="4" fillId="6" borderId="9" xfId="0" applyFont="1" applyFill="1" applyBorder="1" applyAlignment="1">
      <alignment vertical="center"/>
    </xf>
    <xf numFmtId="0" fontId="13" fillId="6" borderId="12" xfId="0" applyFont="1" applyFill="1" applyBorder="1" applyAlignment="1">
      <alignment vertical="center"/>
    </xf>
    <xf numFmtId="0" fontId="4" fillId="6" borderId="0" xfId="0" applyFont="1" applyFill="1" applyAlignment="1">
      <alignment vertical="center"/>
    </xf>
    <xf numFmtId="0" fontId="4" fillId="6" borderId="13" xfId="0" applyFont="1" applyFill="1" applyBorder="1" applyAlignment="1">
      <alignment vertical="center"/>
    </xf>
    <xf numFmtId="0" fontId="13" fillId="6" borderId="10" xfId="0" applyFont="1" applyFill="1" applyBorder="1" applyAlignment="1">
      <alignment vertical="center"/>
    </xf>
    <xf numFmtId="0" fontId="4" fillId="6" borderId="5" xfId="0" applyFont="1" applyFill="1" applyBorder="1" applyAlignment="1">
      <alignment vertical="center"/>
    </xf>
    <xf numFmtId="0" fontId="6" fillId="6" borderId="5" xfId="0" applyFont="1" applyFill="1" applyBorder="1" applyAlignment="1">
      <alignment vertical="center"/>
    </xf>
    <xf numFmtId="0" fontId="4" fillId="6" borderId="11" xfId="0" applyFont="1" applyFill="1" applyBorder="1" applyAlignment="1">
      <alignment vertical="center"/>
    </xf>
    <xf numFmtId="0" fontId="5" fillId="6" borderId="0" xfId="0" applyFont="1" applyFill="1" applyAlignment="1">
      <alignment horizontal="right" vertical="center"/>
    </xf>
    <xf numFmtId="0" fontId="13" fillId="0" borderId="0" xfId="0" applyFont="1" applyAlignment="1">
      <alignment horizontal="center" vertical="center"/>
    </xf>
    <xf numFmtId="0" fontId="9" fillId="6" borderId="1" xfId="0" applyFont="1" applyFill="1" applyBorder="1" applyAlignment="1">
      <alignment horizontal="center" vertical="center" wrapText="1"/>
    </xf>
    <xf numFmtId="0" fontId="4" fillId="6" borderId="8" xfId="0" applyFont="1" applyFill="1" applyBorder="1" applyAlignment="1">
      <alignment vertical="center"/>
    </xf>
    <xf numFmtId="0" fontId="4" fillId="6" borderId="12" xfId="0" applyFont="1" applyFill="1" applyBorder="1" applyAlignment="1">
      <alignment vertical="center"/>
    </xf>
    <xf numFmtId="0" fontId="4" fillId="6" borderId="10" xfId="0" applyFont="1" applyFill="1" applyBorder="1" applyAlignment="1">
      <alignment vertical="center"/>
    </xf>
    <xf numFmtId="0" fontId="17" fillId="0" borderId="0" xfId="0" applyFont="1" applyAlignment="1">
      <alignment vertical="center"/>
    </xf>
    <xf numFmtId="14" fontId="1" fillId="0" borderId="0" xfId="0" applyNumberFormat="1" applyFont="1" applyAlignment="1">
      <alignment horizontal="left" vertical="center"/>
    </xf>
    <xf numFmtId="0" fontId="22" fillId="0" borderId="0" xfId="1" applyFont="1" applyAlignment="1">
      <alignment vertical="center"/>
    </xf>
    <xf numFmtId="0" fontId="23" fillId="0" borderId="0" xfId="0" applyFont="1" applyAlignment="1">
      <alignment vertical="center"/>
    </xf>
    <xf numFmtId="0" fontId="24" fillId="0" borderId="0" xfId="0" applyFont="1" applyAlignment="1">
      <alignment horizontal="left" vertical="center"/>
    </xf>
    <xf numFmtId="0" fontId="23" fillId="0" borderId="0" xfId="0" applyFont="1" applyAlignment="1">
      <alignment horizontal="left" vertical="center"/>
    </xf>
    <xf numFmtId="0" fontId="25" fillId="0" borderId="0" xfId="0" applyFont="1" applyAlignment="1">
      <alignment horizontal="left" vertical="center"/>
    </xf>
    <xf numFmtId="0" fontId="26" fillId="0" borderId="8" xfId="0" applyFont="1" applyBorder="1" applyAlignment="1">
      <alignment horizontal="center" vertical="center"/>
    </xf>
    <xf numFmtId="0" fontId="4" fillId="0" borderId="15" xfId="0" applyFont="1" applyBorder="1" applyAlignment="1">
      <alignment vertical="center"/>
    </xf>
    <xf numFmtId="0" fontId="27" fillId="0" borderId="9" xfId="0" applyFont="1" applyBorder="1" applyAlignment="1">
      <alignment horizontal="center" vertical="center"/>
    </xf>
    <xf numFmtId="0" fontId="26" fillId="0" borderId="12" xfId="0" applyFont="1" applyBorder="1" applyAlignment="1">
      <alignment horizontal="center" vertical="center"/>
    </xf>
    <xf numFmtId="0" fontId="4" fillId="0" borderId="13" xfId="0" applyFont="1" applyBorder="1" applyAlignment="1">
      <alignment vertical="center"/>
    </xf>
    <xf numFmtId="0" fontId="4" fillId="0" borderId="12" xfId="0" applyFont="1" applyBorder="1" applyAlignment="1">
      <alignment horizontal="center" vertical="center"/>
    </xf>
    <xf numFmtId="0" fontId="29" fillId="0" borderId="0" xfId="0" applyFont="1" applyAlignment="1">
      <alignment vertical="center"/>
    </xf>
    <xf numFmtId="16" fontId="5" fillId="6" borderId="8" xfId="0" quotePrefix="1" applyNumberFormat="1" applyFont="1" applyFill="1" applyBorder="1" applyAlignment="1">
      <alignment horizontal="left" vertical="center"/>
    </xf>
    <xf numFmtId="0" fontId="5" fillId="6" borderId="15" xfId="0" applyFont="1" applyFill="1" applyBorder="1" applyAlignment="1">
      <alignment horizontal="left" vertical="center"/>
    </xf>
    <xf numFmtId="0" fontId="3" fillId="6" borderId="15" xfId="0" applyFont="1" applyFill="1" applyBorder="1" applyAlignment="1">
      <alignment horizontal="left" vertical="center"/>
    </xf>
    <xf numFmtId="0" fontId="5" fillId="6" borderId="9" xfId="0" applyFont="1" applyFill="1" applyBorder="1" applyAlignment="1">
      <alignment horizontal="left" vertical="center"/>
    </xf>
    <xf numFmtId="0" fontId="3" fillId="6" borderId="0" xfId="0" applyFont="1" applyFill="1" applyAlignment="1">
      <alignment horizontal="right" vertical="center"/>
    </xf>
    <xf numFmtId="0" fontId="5" fillId="6" borderId="13" xfId="0" applyFont="1" applyFill="1" applyBorder="1" applyAlignment="1">
      <alignment vertical="center"/>
    </xf>
    <xf numFmtId="0" fontId="5" fillId="6" borderId="5" xfId="0" applyFont="1" applyFill="1" applyBorder="1" applyAlignment="1">
      <alignment vertical="center"/>
    </xf>
    <xf numFmtId="0" fontId="18" fillId="6" borderId="5" xfId="0" applyFont="1" applyFill="1" applyBorder="1" applyAlignment="1">
      <alignment vertical="center"/>
    </xf>
    <xf numFmtId="0" fontId="3" fillId="6" borderId="5" xfId="0" applyFont="1" applyFill="1" applyBorder="1" applyAlignment="1">
      <alignment vertical="center"/>
    </xf>
    <xf numFmtId="0" fontId="5" fillId="6" borderId="11" xfId="0" applyFont="1" applyFill="1" applyBorder="1" applyAlignment="1">
      <alignment vertical="center"/>
    </xf>
    <xf numFmtId="0" fontId="4" fillId="0" borderId="9" xfId="0" applyFont="1" applyBorder="1" applyAlignment="1">
      <alignment vertical="center"/>
    </xf>
    <xf numFmtId="0" fontId="4" fillId="0" borderId="10" xfId="0" applyFont="1" applyBorder="1" applyAlignment="1">
      <alignment horizontal="center" vertical="center"/>
    </xf>
    <xf numFmtId="0" fontId="4" fillId="0" borderId="5" xfId="0" applyFont="1" applyBorder="1" applyAlignment="1">
      <alignment vertical="center"/>
    </xf>
    <xf numFmtId="0" fontId="4" fillId="0" borderId="5" xfId="0" applyFont="1" applyBorder="1" applyAlignment="1">
      <alignment horizontal="right" vertical="center"/>
    </xf>
    <xf numFmtId="0" fontId="4" fillId="0" borderId="11" xfId="0" applyFont="1" applyBorder="1" applyAlignment="1">
      <alignment vertical="center"/>
    </xf>
    <xf numFmtId="0" fontId="5" fillId="6" borderId="14" xfId="0" applyFont="1" applyFill="1" applyBorder="1" applyAlignment="1">
      <alignment horizontal="center" vertical="center"/>
    </xf>
    <xf numFmtId="0" fontId="3" fillId="6" borderId="0" xfId="0" applyFont="1" applyFill="1" applyAlignment="1">
      <alignment vertical="center"/>
    </xf>
    <xf numFmtId="0" fontId="30" fillId="0" borderId="13" xfId="1" applyFont="1" applyBorder="1" applyAlignment="1">
      <alignment vertical="center"/>
    </xf>
    <xf numFmtId="0" fontId="30" fillId="3" borderId="13" xfId="1" applyFont="1" applyFill="1" applyBorder="1" applyAlignment="1">
      <alignment vertical="center"/>
    </xf>
    <xf numFmtId="16" fontId="31" fillId="0" borderId="12" xfId="0" applyNumberFormat="1" applyFont="1" applyBorder="1" applyAlignment="1">
      <alignment horizontal="center" vertical="center"/>
    </xf>
    <xf numFmtId="0" fontId="31" fillId="3" borderId="12" xfId="0" applyFont="1" applyFill="1" applyBorder="1" applyAlignment="1">
      <alignment horizontal="center" vertical="center"/>
    </xf>
    <xf numFmtId="0" fontId="31" fillId="0" borderId="12" xfId="0" applyFont="1" applyBorder="1" applyAlignment="1">
      <alignment horizontal="center" vertical="center"/>
    </xf>
    <xf numFmtId="16" fontId="31" fillId="3" borderId="12" xfId="0" applyNumberFormat="1" applyFont="1" applyFill="1" applyBorder="1" applyAlignment="1">
      <alignment horizontal="center" vertical="center"/>
    </xf>
    <xf numFmtId="0" fontId="1"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16" fontId="31" fillId="0" borderId="8" xfId="0" applyNumberFormat="1" applyFont="1" applyBorder="1" applyAlignment="1">
      <alignment horizontal="center" vertical="center"/>
    </xf>
    <xf numFmtId="0" fontId="31" fillId="0" borderId="0" xfId="0" applyFont="1" applyAlignment="1">
      <alignment horizontal="center" vertical="center"/>
    </xf>
    <xf numFmtId="0" fontId="30" fillId="0" borderId="0" xfId="1" applyFont="1" applyFill="1" applyBorder="1" applyAlignment="1">
      <alignment vertical="center"/>
    </xf>
    <xf numFmtId="0" fontId="32" fillId="0" borderId="0" xfId="0" applyFont="1"/>
    <xf numFmtId="0" fontId="35" fillId="0" borderId="1" xfId="0" applyFont="1" applyBorder="1" applyAlignment="1">
      <alignment horizontal="left" vertical="center"/>
    </xf>
    <xf numFmtId="0" fontId="37" fillId="0" borderId="1" xfId="1" applyFont="1" applyBorder="1" applyAlignment="1">
      <alignment horizontal="left" vertical="center"/>
    </xf>
    <xf numFmtId="0" fontId="34" fillId="0" borderId="0" xfId="0" applyFont="1" applyAlignment="1">
      <alignment vertical="center"/>
    </xf>
    <xf numFmtId="0" fontId="11" fillId="6" borderId="0" xfId="0" applyFont="1" applyFill="1" applyAlignment="1">
      <alignment vertical="center"/>
    </xf>
    <xf numFmtId="0" fontId="5" fillId="6" borderId="0" xfId="0" applyFont="1" applyFill="1" applyAlignment="1">
      <alignment vertical="center"/>
    </xf>
    <xf numFmtId="17" fontId="5" fillId="6" borderId="0" xfId="0" applyNumberFormat="1" applyFont="1" applyFill="1" applyAlignment="1">
      <alignment horizontal="center" vertical="center"/>
    </xf>
    <xf numFmtId="14" fontId="43" fillId="0" borderId="0" xfId="0" applyNumberFormat="1" applyFont="1" applyAlignment="1">
      <alignment horizontal="center" vertical="center"/>
    </xf>
    <xf numFmtId="0" fontId="44" fillId="0" borderId="0" xfId="0" applyFont="1" applyAlignment="1">
      <alignment horizontal="left"/>
    </xf>
    <xf numFmtId="0" fontId="19" fillId="0" borderId="0" xfId="0" applyFont="1" applyAlignment="1">
      <alignment horizontal="left"/>
    </xf>
    <xf numFmtId="0" fontId="4" fillId="0" borderId="15" xfId="0" applyFont="1" applyBorder="1"/>
    <xf numFmtId="0" fontId="42" fillId="0" borderId="15" xfId="0" applyFont="1" applyBorder="1"/>
    <xf numFmtId="0" fontId="45" fillId="0" borderId="9" xfId="0" applyFont="1" applyBorder="1" applyAlignment="1">
      <alignment horizontal="center"/>
    </xf>
    <xf numFmtId="0" fontId="4" fillId="0" borderId="0" xfId="0" applyFont="1"/>
    <xf numFmtId="0" fontId="42" fillId="0" borderId="0" xfId="0" applyFont="1"/>
    <xf numFmtId="0" fontId="42" fillId="0" borderId="13" xfId="0" applyFont="1" applyBorder="1"/>
    <xf numFmtId="0" fontId="42" fillId="0" borderId="0" xfId="0" applyFont="1" applyAlignment="1">
      <alignment horizontal="right"/>
    </xf>
    <xf numFmtId="0" fontId="41" fillId="0" borderId="1" xfId="0" applyFont="1" applyBorder="1" applyAlignment="1">
      <alignment horizontal="center"/>
    </xf>
    <xf numFmtId="0" fontId="41" fillId="0" borderId="13" xfId="0" applyFont="1" applyBorder="1" applyAlignment="1">
      <alignment horizontal="center"/>
    </xf>
    <xf numFmtId="0" fontId="12" fillId="7" borderId="6" xfId="0" applyFont="1" applyFill="1" applyBorder="1" applyAlignment="1">
      <alignment horizontal="left"/>
    </xf>
    <xf numFmtId="0" fontId="12" fillId="7" borderId="7" xfId="0" applyFont="1" applyFill="1" applyBorder="1"/>
    <xf numFmtId="0" fontId="47" fillId="7" borderId="7" xfId="0" applyFont="1" applyFill="1" applyBorder="1" applyAlignment="1">
      <alignment horizontal="right"/>
    </xf>
    <xf numFmtId="0" fontId="46" fillId="7" borderId="16" xfId="0" applyFont="1" applyFill="1" applyBorder="1" applyAlignment="1">
      <alignment horizontal="center"/>
    </xf>
    <xf numFmtId="0" fontId="12" fillId="7" borderId="8" xfId="0" applyFont="1" applyFill="1" applyBorder="1" applyAlignment="1">
      <alignment horizontal="left"/>
    </xf>
    <xf numFmtId="0" fontId="12" fillId="7" borderId="15" xfId="0" applyFont="1" applyFill="1" applyBorder="1"/>
    <xf numFmtId="0" fontId="15" fillId="0" borderId="8" xfId="0" applyFont="1" applyBorder="1" applyAlignment="1">
      <alignment horizontal="center"/>
    </xf>
    <xf numFmtId="0" fontId="15" fillId="0" borderId="15" xfId="0" applyFont="1" applyBorder="1"/>
    <xf numFmtId="0" fontId="13" fillId="0" borderId="15" xfId="0" applyFont="1" applyBorder="1"/>
    <xf numFmtId="0" fontId="15" fillId="0" borderId="12" xfId="0" applyFont="1" applyBorder="1" applyAlignment="1">
      <alignment horizontal="center"/>
    </xf>
    <xf numFmtId="0" fontId="13" fillId="0" borderId="0" xfId="0" applyFont="1"/>
    <xf numFmtId="0" fontId="15" fillId="0" borderId="0" xfId="0" applyFont="1"/>
    <xf numFmtId="0" fontId="13" fillId="0" borderId="12" xfId="0" applyFont="1" applyBorder="1" applyAlignment="1">
      <alignment horizontal="center"/>
    </xf>
    <xf numFmtId="0" fontId="46" fillId="7" borderId="17" xfId="0" applyFont="1" applyFill="1" applyBorder="1" applyAlignment="1">
      <alignment horizontal="center"/>
    </xf>
    <xf numFmtId="0" fontId="31" fillId="0" borderId="10" xfId="0" applyFont="1" applyBorder="1" applyAlignment="1">
      <alignment horizontal="center" vertical="center"/>
    </xf>
    <xf numFmtId="0" fontId="30" fillId="0" borderId="11" xfId="1" applyFont="1" applyBorder="1" applyAlignment="1">
      <alignment vertical="center"/>
    </xf>
    <xf numFmtId="0" fontId="17" fillId="0" borderId="0" xfId="0" applyFont="1" applyAlignment="1">
      <alignment horizontal="center"/>
    </xf>
    <xf numFmtId="0" fontId="31" fillId="0" borderId="0" xfId="0" applyFont="1" applyAlignment="1">
      <alignment horizontal="center"/>
    </xf>
    <xf numFmtId="0" fontId="49" fillId="4" borderId="1" xfId="0" applyFont="1" applyFill="1" applyBorder="1" applyAlignment="1">
      <alignment vertical="center"/>
    </xf>
    <xf numFmtId="0" fontId="49" fillId="2" borderId="1" xfId="0" applyFont="1" applyFill="1" applyBorder="1" applyAlignment="1">
      <alignment vertical="center"/>
    </xf>
    <xf numFmtId="0" fontId="49" fillId="5" borderId="1" xfId="0" applyFont="1" applyFill="1" applyBorder="1" applyAlignment="1">
      <alignment vertical="center"/>
    </xf>
    <xf numFmtId="0" fontId="49" fillId="3" borderId="1" xfId="0" applyFont="1" applyFill="1" applyBorder="1" applyAlignment="1">
      <alignment vertical="center"/>
    </xf>
    <xf numFmtId="0" fontId="52" fillId="4" borderId="1" xfId="0" applyFont="1" applyFill="1" applyBorder="1" applyAlignment="1">
      <alignment horizontal="center" vertical="center"/>
    </xf>
    <xf numFmtId="0" fontId="52" fillId="2" borderId="1" xfId="0" applyFont="1" applyFill="1" applyBorder="1" applyAlignment="1">
      <alignment horizontal="center" vertical="center"/>
    </xf>
    <xf numFmtId="0" fontId="52" fillId="5" borderId="1" xfId="0" applyFont="1" applyFill="1" applyBorder="1" applyAlignment="1">
      <alignment horizontal="center" vertical="center"/>
    </xf>
    <xf numFmtId="0" fontId="52" fillId="3" borderId="1" xfId="0" applyFont="1" applyFill="1" applyBorder="1" applyAlignment="1">
      <alignment horizontal="center" vertical="center"/>
    </xf>
    <xf numFmtId="0" fontId="41" fillId="6" borderId="0" xfId="0" applyFont="1" applyFill="1" applyAlignment="1">
      <alignment vertical="center"/>
    </xf>
    <xf numFmtId="0" fontId="28" fillId="0" borderId="4" xfId="0" applyFont="1" applyBorder="1" applyAlignment="1">
      <alignment vertical="center"/>
    </xf>
    <xf numFmtId="0" fontId="28" fillId="0" borderId="1" xfId="0" applyFont="1" applyBorder="1" applyAlignment="1">
      <alignment vertical="center" wrapText="1"/>
    </xf>
    <xf numFmtId="0" fontId="28" fillId="0" borderId="1" xfId="0" applyFont="1" applyBorder="1" applyAlignment="1">
      <alignment horizontal="center" vertical="center"/>
    </xf>
    <xf numFmtId="0" fontId="28" fillId="0" borderId="1" xfId="0" applyFont="1" applyBorder="1" applyAlignment="1">
      <alignment vertical="center"/>
    </xf>
    <xf numFmtId="14" fontId="28" fillId="6" borderId="0" xfId="0" applyNumberFormat="1" applyFont="1" applyFill="1" applyAlignment="1">
      <alignment horizontal="center" vertical="center"/>
    </xf>
    <xf numFmtId="14" fontId="48" fillId="6" borderId="0" xfId="0" applyNumberFormat="1" applyFont="1" applyFill="1" applyAlignment="1">
      <alignment horizontal="center" vertical="center"/>
    </xf>
    <xf numFmtId="0" fontId="13" fillId="6" borderId="13" xfId="0" applyFont="1" applyFill="1" applyBorder="1" applyAlignment="1">
      <alignment vertical="center"/>
    </xf>
    <xf numFmtId="0" fontId="8" fillId="9" borderId="1" xfId="0" applyFont="1" applyFill="1" applyBorder="1" applyAlignment="1">
      <alignment horizontal="center" vertical="center" wrapText="1"/>
    </xf>
    <xf numFmtId="1" fontId="5" fillId="9" borderId="1" xfId="0" quotePrefix="1" applyNumberFormat="1" applyFont="1" applyFill="1" applyBorder="1" applyAlignment="1">
      <alignment horizontal="center" vertical="center"/>
    </xf>
    <xf numFmtId="0" fontId="8" fillId="10" borderId="1" xfId="0" applyFont="1" applyFill="1" applyBorder="1" applyAlignment="1">
      <alignment horizontal="center" vertical="center" wrapText="1"/>
    </xf>
    <xf numFmtId="1" fontId="5" fillId="10" borderId="1" xfId="0" quotePrefix="1" applyNumberFormat="1" applyFont="1" applyFill="1" applyBorder="1" applyAlignment="1">
      <alignment horizontal="center" vertical="center"/>
    </xf>
    <xf numFmtId="0" fontId="12"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28" fillId="8" borderId="1" xfId="0" applyFont="1" applyFill="1" applyBorder="1" applyAlignment="1">
      <alignment horizontal="center" vertical="center"/>
    </xf>
    <xf numFmtId="0" fontId="12" fillId="6" borderId="12" xfId="0" applyFont="1" applyFill="1" applyBorder="1" applyAlignment="1">
      <alignment horizontal="left" vertical="center"/>
    </xf>
    <xf numFmtId="0" fontId="13" fillId="6" borderId="0" xfId="0" applyFont="1" applyFill="1" applyAlignment="1">
      <alignment vertical="center"/>
    </xf>
    <xf numFmtId="0" fontId="55" fillId="6" borderId="0" xfId="0" applyFont="1" applyFill="1" applyAlignment="1">
      <alignment horizontal="left" vertical="center"/>
    </xf>
    <xf numFmtId="0" fontId="12" fillId="6" borderId="4" xfId="0" applyFont="1" applyFill="1" applyBorder="1" applyAlignment="1">
      <alignment horizontal="center" vertical="center" wrapText="1"/>
    </xf>
    <xf numFmtId="0" fontId="6" fillId="0" borderId="0" xfId="0" applyFont="1" applyAlignment="1">
      <alignment horizontal="center" vertical="center"/>
    </xf>
    <xf numFmtId="0" fontId="12" fillId="6" borderId="13" xfId="0" applyFont="1" applyFill="1" applyBorder="1" applyAlignment="1">
      <alignment horizontal="center" vertical="center"/>
    </xf>
    <xf numFmtId="0" fontId="4" fillId="11" borderId="0" xfId="0" applyFont="1" applyFill="1" applyAlignment="1">
      <alignment vertical="center"/>
    </xf>
    <xf numFmtId="0" fontId="4" fillId="12" borderId="0" xfId="0" applyFont="1" applyFill="1" applyAlignment="1">
      <alignment vertical="center"/>
    </xf>
    <xf numFmtId="0" fontId="4" fillId="5" borderId="0" xfId="0" applyFont="1" applyFill="1" applyAlignment="1">
      <alignment vertical="center"/>
    </xf>
    <xf numFmtId="14" fontId="6" fillId="6" borderId="0" xfId="0" applyNumberFormat="1" applyFont="1" applyFill="1" applyAlignment="1">
      <alignment horizontal="center" vertical="center"/>
    </xf>
    <xf numFmtId="49" fontId="53" fillId="11" borderId="8" xfId="0" applyNumberFormat="1" applyFont="1" applyFill="1" applyBorder="1" applyAlignment="1">
      <alignment horizontal="center" vertical="center"/>
    </xf>
    <xf numFmtId="49" fontId="53" fillId="11" borderId="15" xfId="0" applyNumberFormat="1" applyFont="1" applyFill="1" applyBorder="1" applyAlignment="1">
      <alignment horizontal="center" vertical="center"/>
    </xf>
    <xf numFmtId="49" fontId="53" fillId="11" borderId="9" xfId="0" applyNumberFormat="1" applyFont="1" applyFill="1" applyBorder="1" applyAlignment="1">
      <alignment horizontal="center" vertical="center"/>
    </xf>
    <xf numFmtId="49" fontId="53" fillId="12" borderId="8" xfId="0" applyNumberFormat="1" applyFont="1" applyFill="1" applyBorder="1" applyAlignment="1">
      <alignment horizontal="center" vertical="center"/>
    </xf>
    <xf numFmtId="49" fontId="53" fillId="12" borderId="15" xfId="0" applyNumberFormat="1" applyFont="1" applyFill="1" applyBorder="1" applyAlignment="1">
      <alignment horizontal="center" vertical="center"/>
    </xf>
    <xf numFmtId="49" fontId="53" fillId="12" borderId="9" xfId="0" applyNumberFormat="1" applyFont="1" applyFill="1" applyBorder="1" applyAlignment="1">
      <alignment horizontal="center" vertical="center"/>
    </xf>
    <xf numFmtId="49" fontId="53" fillId="11" borderId="12" xfId="0" applyNumberFormat="1" applyFont="1" applyFill="1" applyBorder="1" applyAlignment="1">
      <alignment horizontal="center" vertical="center"/>
    </xf>
    <xf numFmtId="49" fontId="53" fillId="11" borderId="0" xfId="0" applyNumberFormat="1" applyFont="1" applyFill="1" applyAlignment="1">
      <alignment horizontal="center" vertical="center"/>
    </xf>
    <xf numFmtId="49" fontId="53" fillId="11" borderId="13" xfId="0" applyNumberFormat="1" applyFont="1" applyFill="1" applyBorder="1" applyAlignment="1">
      <alignment horizontal="center" vertical="center"/>
    </xf>
    <xf numFmtId="49" fontId="53" fillId="12" borderId="12" xfId="0" applyNumberFormat="1" applyFont="1" applyFill="1" applyBorder="1" applyAlignment="1">
      <alignment horizontal="center" vertical="center"/>
    </xf>
    <xf numFmtId="49" fontId="53" fillId="12" borderId="0" xfId="0" applyNumberFormat="1" applyFont="1" applyFill="1" applyAlignment="1">
      <alignment horizontal="center" vertical="center"/>
    </xf>
    <xf numFmtId="49" fontId="53" fillId="12" borderId="13" xfId="0" applyNumberFormat="1" applyFont="1" applyFill="1" applyBorder="1" applyAlignment="1">
      <alignment horizontal="center" vertical="center"/>
    </xf>
    <xf numFmtId="49" fontId="53" fillId="6" borderId="0" xfId="0" applyNumberFormat="1" applyFont="1" applyFill="1" applyAlignment="1">
      <alignment horizontal="center" vertical="center"/>
    </xf>
    <xf numFmtId="49" fontId="53" fillId="11" borderId="10" xfId="0" applyNumberFormat="1" applyFont="1" applyFill="1" applyBorder="1" applyAlignment="1">
      <alignment horizontal="center" vertical="center"/>
    </xf>
    <xf numFmtId="49" fontId="53" fillId="11" borderId="5" xfId="0" applyNumberFormat="1" applyFont="1" applyFill="1" applyBorder="1" applyAlignment="1">
      <alignment horizontal="center" vertical="center"/>
    </xf>
    <xf numFmtId="49" fontId="53" fillId="11" borderId="11" xfId="0" applyNumberFormat="1" applyFont="1" applyFill="1" applyBorder="1" applyAlignment="1">
      <alignment horizontal="center" vertical="center"/>
    </xf>
    <xf numFmtId="49" fontId="53" fillId="12" borderId="10" xfId="0" applyNumberFormat="1" applyFont="1" applyFill="1" applyBorder="1" applyAlignment="1">
      <alignment horizontal="center" vertical="center"/>
    </xf>
    <xf numFmtId="49" fontId="53" fillId="12" borderId="5" xfId="0" applyNumberFormat="1" applyFont="1" applyFill="1" applyBorder="1" applyAlignment="1">
      <alignment horizontal="center" vertical="center"/>
    </xf>
    <xf numFmtId="49" fontId="53" fillId="12" borderId="11" xfId="0" applyNumberFormat="1" applyFont="1" applyFill="1" applyBorder="1" applyAlignment="1">
      <alignment horizontal="center" vertical="center"/>
    </xf>
    <xf numFmtId="49" fontId="53" fillId="6" borderId="15" xfId="0" applyNumberFormat="1" applyFont="1" applyFill="1" applyBorder="1" applyAlignment="1">
      <alignment horizontal="center" vertical="center"/>
    </xf>
    <xf numFmtId="49" fontId="53" fillId="5" borderId="8" xfId="0" applyNumberFormat="1" applyFont="1" applyFill="1" applyBorder="1" applyAlignment="1">
      <alignment horizontal="center" vertical="center"/>
    </xf>
    <xf numFmtId="49" fontId="53" fillId="5" borderId="15" xfId="0" applyNumberFormat="1" applyFont="1" applyFill="1" applyBorder="1" applyAlignment="1">
      <alignment horizontal="center" vertical="center"/>
    </xf>
    <xf numFmtId="49" fontId="53" fillId="5" borderId="9" xfId="0" applyNumberFormat="1" applyFont="1" applyFill="1" applyBorder="1" applyAlignment="1">
      <alignment horizontal="center" vertical="center"/>
    </xf>
    <xf numFmtId="49" fontId="53" fillId="5" borderId="12" xfId="0" applyNumberFormat="1" applyFont="1" applyFill="1" applyBorder="1" applyAlignment="1">
      <alignment horizontal="center" vertical="center"/>
    </xf>
    <xf numFmtId="49" fontId="53" fillId="5" borderId="0" xfId="0" applyNumberFormat="1" applyFont="1" applyFill="1" applyAlignment="1">
      <alignment horizontal="center" vertical="center"/>
    </xf>
    <xf numFmtId="49" fontId="53" fillId="5" borderId="13" xfId="0" applyNumberFormat="1" applyFont="1" applyFill="1" applyBorder="1" applyAlignment="1">
      <alignment horizontal="center" vertical="center"/>
    </xf>
    <xf numFmtId="49" fontId="53" fillId="5" borderId="10" xfId="0" applyNumberFormat="1" applyFont="1" applyFill="1" applyBorder="1" applyAlignment="1">
      <alignment horizontal="center" vertical="center"/>
    </xf>
    <xf numFmtId="49" fontId="53" fillId="5" borderId="5" xfId="0" applyNumberFormat="1" applyFont="1" applyFill="1" applyBorder="1" applyAlignment="1">
      <alignment horizontal="center" vertical="center"/>
    </xf>
    <xf numFmtId="49" fontId="53" fillId="5" borderId="11" xfId="0" applyNumberFormat="1" applyFont="1" applyFill="1" applyBorder="1" applyAlignment="1">
      <alignment horizontal="center" vertical="center"/>
    </xf>
    <xf numFmtId="0" fontId="53" fillId="5" borderId="0" xfId="0" applyFont="1" applyFill="1" applyAlignment="1">
      <alignment horizontal="center" vertical="center"/>
    </xf>
    <xf numFmtId="0" fontId="59" fillId="6" borderId="1"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6" borderId="22" xfId="0" applyFont="1" applyFill="1" applyBorder="1" applyAlignment="1">
      <alignment horizontal="center" vertical="center" wrapText="1"/>
    </xf>
    <xf numFmtId="0" fontId="49" fillId="4" borderId="23" xfId="0" applyFont="1" applyFill="1" applyBorder="1" applyAlignment="1">
      <alignment vertical="center"/>
    </xf>
    <xf numFmtId="0" fontId="49" fillId="4" borderId="24" xfId="0" applyFont="1" applyFill="1" applyBorder="1" applyAlignment="1">
      <alignment vertical="center"/>
    </xf>
    <xf numFmtId="0" fontId="49" fillId="2" borderId="23" xfId="0" applyFont="1" applyFill="1" applyBorder="1" applyAlignment="1">
      <alignment vertical="center"/>
    </xf>
    <xf numFmtId="0" fontId="49" fillId="2" borderId="24" xfId="0" applyFont="1" applyFill="1" applyBorder="1" applyAlignment="1">
      <alignment vertical="center"/>
    </xf>
    <xf numFmtId="0" fontId="49" fillId="5" borderId="23" xfId="0" applyFont="1" applyFill="1" applyBorder="1" applyAlignment="1">
      <alignment vertical="center"/>
    </xf>
    <xf numFmtId="0" fontId="49" fillId="5" borderId="24" xfId="0" applyFont="1" applyFill="1" applyBorder="1" applyAlignment="1">
      <alignment vertical="center"/>
    </xf>
    <xf numFmtId="0" fontId="49" fillId="3" borderId="23" xfId="0" applyFont="1" applyFill="1" applyBorder="1" applyAlignment="1">
      <alignment vertical="center"/>
    </xf>
    <xf numFmtId="0" fontId="49" fillId="3" borderId="24" xfId="0" applyFont="1" applyFill="1" applyBorder="1" applyAlignment="1">
      <alignment vertical="center"/>
    </xf>
    <xf numFmtId="0" fontId="49" fillId="3" borderId="25" xfId="0" applyFont="1" applyFill="1" applyBorder="1" applyAlignment="1">
      <alignment vertical="center"/>
    </xf>
    <xf numFmtId="0" fontId="49" fillId="3" borderId="26" xfId="0" applyFont="1" applyFill="1" applyBorder="1" applyAlignment="1">
      <alignment vertical="center"/>
    </xf>
    <xf numFmtId="0" fontId="49" fillId="3" borderId="27" xfId="0" applyFont="1" applyFill="1" applyBorder="1" applyAlignment="1">
      <alignment vertical="center"/>
    </xf>
    <xf numFmtId="0" fontId="59" fillId="6" borderId="23" xfId="0" applyFont="1" applyFill="1" applyBorder="1" applyAlignment="1">
      <alignment horizontal="center" vertical="center" wrapText="1"/>
    </xf>
    <xf numFmtId="0" fontId="59" fillId="6" borderId="24" xfId="0" applyFont="1" applyFill="1" applyBorder="1" applyAlignment="1">
      <alignment horizontal="center" vertical="center" wrapText="1"/>
    </xf>
    <xf numFmtId="0" fontId="52" fillId="4" borderId="23" xfId="0" applyFont="1" applyFill="1" applyBorder="1" applyAlignment="1">
      <alignment horizontal="center" vertical="center"/>
    </xf>
    <xf numFmtId="0" fontId="52" fillId="4" borderId="24" xfId="0" applyFont="1" applyFill="1" applyBorder="1" applyAlignment="1">
      <alignment horizontal="center" vertical="center"/>
    </xf>
    <xf numFmtId="0" fontId="52" fillId="2" borderId="23" xfId="0" applyFont="1" applyFill="1" applyBorder="1" applyAlignment="1">
      <alignment horizontal="center" vertical="center"/>
    </xf>
    <xf numFmtId="0" fontId="52" fillId="2" borderId="24" xfId="0" applyFont="1" applyFill="1" applyBorder="1" applyAlignment="1">
      <alignment horizontal="center" vertical="center"/>
    </xf>
    <xf numFmtId="0" fontId="52" fillId="5" borderId="23" xfId="0" applyFont="1" applyFill="1" applyBorder="1" applyAlignment="1">
      <alignment horizontal="center" vertical="center"/>
    </xf>
    <xf numFmtId="0" fontId="52" fillId="5" borderId="24" xfId="0" applyFont="1" applyFill="1" applyBorder="1" applyAlignment="1">
      <alignment horizontal="center" vertical="center"/>
    </xf>
    <xf numFmtId="0" fontId="52" fillId="3" borderId="23" xfId="0" applyFont="1" applyFill="1" applyBorder="1" applyAlignment="1">
      <alignment horizontal="center" vertical="center"/>
    </xf>
    <xf numFmtId="0" fontId="52" fillId="3" borderId="24" xfId="0" applyFont="1" applyFill="1" applyBorder="1" applyAlignment="1">
      <alignment horizontal="center" vertical="center"/>
    </xf>
    <xf numFmtId="0" fontId="52" fillId="3" borderId="25" xfId="0" applyFont="1" applyFill="1" applyBorder="1" applyAlignment="1">
      <alignment horizontal="center" vertical="center"/>
    </xf>
    <xf numFmtId="0" fontId="52" fillId="3" borderId="26" xfId="0" applyFont="1" applyFill="1" applyBorder="1" applyAlignment="1">
      <alignment horizontal="center" vertical="center"/>
    </xf>
    <xf numFmtId="0" fontId="52" fillId="3" borderId="27" xfId="0" applyFont="1" applyFill="1" applyBorder="1" applyAlignment="1">
      <alignment horizontal="center" vertical="center"/>
    </xf>
    <xf numFmtId="14" fontId="7" fillId="6" borderId="26" xfId="0" quotePrefix="1" applyNumberFormat="1" applyFont="1" applyFill="1" applyBorder="1" applyAlignment="1">
      <alignment horizontal="center" vertical="center"/>
    </xf>
    <xf numFmtId="0" fontId="4" fillId="6" borderId="37" xfId="0" applyFont="1" applyFill="1" applyBorder="1" applyAlignment="1">
      <alignment vertical="center"/>
    </xf>
    <xf numFmtId="0" fontId="4" fillId="6" borderId="38" xfId="0" applyFont="1" applyFill="1" applyBorder="1" applyAlignment="1">
      <alignment vertical="center"/>
    </xf>
    <xf numFmtId="0" fontId="4" fillId="6" borderId="32" xfId="0" applyFont="1" applyFill="1" applyBorder="1" applyAlignment="1">
      <alignment vertical="center"/>
    </xf>
    <xf numFmtId="0" fontId="4" fillId="6" borderId="33" xfId="0" applyFont="1" applyFill="1" applyBorder="1" applyAlignment="1">
      <alignment vertical="center"/>
    </xf>
    <xf numFmtId="0" fontId="4" fillId="6" borderId="39" xfId="0" applyFont="1" applyFill="1" applyBorder="1" applyAlignment="1">
      <alignment vertical="center"/>
    </xf>
    <xf numFmtId="0" fontId="4" fillId="6" borderId="40" xfId="0" applyFont="1" applyFill="1" applyBorder="1" applyAlignment="1">
      <alignment vertical="center"/>
    </xf>
    <xf numFmtId="0" fontId="6" fillId="6" borderId="40" xfId="0" applyFont="1" applyFill="1" applyBorder="1" applyAlignment="1">
      <alignment vertical="center"/>
    </xf>
    <xf numFmtId="0" fontId="4" fillId="6" borderId="41" xfId="0" applyFont="1" applyFill="1" applyBorder="1" applyAlignment="1">
      <alignment vertical="center"/>
    </xf>
    <xf numFmtId="0" fontId="30" fillId="0" borderId="0" xfId="1" applyFont="1" applyBorder="1" applyAlignment="1">
      <alignment vertical="center"/>
    </xf>
    <xf numFmtId="0" fontId="30" fillId="3" borderId="0" xfId="1" applyFont="1" applyFill="1" applyBorder="1" applyAlignment="1">
      <alignment vertical="center"/>
    </xf>
    <xf numFmtId="0" fontId="12" fillId="6" borderId="5" xfId="0" applyFont="1" applyFill="1" applyBorder="1" applyAlignment="1">
      <alignment horizontal="center" vertical="center"/>
    </xf>
    <xf numFmtId="0" fontId="30" fillId="0" borderId="15" xfId="1" applyFont="1" applyBorder="1" applyAlignment="1">
      <alignment vertical="center"/>
    </xf>
    <xf numFmtId="0" fontId="30" fillId="0" borderId="5" xfId="1" applyFont="1" applyBorder="1" applyAlignment="1">
      <alignment vertical="center"/>
    </xf>
    <xf numFmtId="0" fontId="28" fillId="4" borderId="6" xfId="0" applyFont="1" applyFill="1" applyBorder="1" applyAlignment="1">
      <alignment vertical="center"/>
    </xf>
    <xf numFmtId="0" fontId="28" fillId="4" borderId="23" xfId="0" applyFont="1" applyFill="1" applyBorder="1" applyAlignment="1">
      <alignment vertical="center"/>
    </xf>
    <xf numFmtId="0" fontId="28" fillId="4" borderId="1" xfId="0" applyFont="1" applyFill="1" applyBorder="1" applyAlignment="1">
      <alignment horizontal="center" vertical="center"/>
    </xf>
    <xf numFmtId="9" fontId="28" fillId="4" borderId="24" xfId="0" applyNumberFormat="1" applyFont="1" applyFill="1" applyBorder="1" applyAlignment="1">
      <alignment horizontal="center" vertical="center"/>
    </xf>
    <xf numFmtId="0" fontId="26" fillId="4" borderId="23" xfId="0" applyFont="1" applyFill="1" applyBorder="1" applyAlignment="1">
      <alignment horizontal="center" vertical="center"/>
    </xf>
    <xf numFmtId="0" fontId="26" fillId="4" borderId="1" xfId="0" applyFont="1" applyFill="1" applyBorder="1" applyAlignment="1">
      <alignment horizontal="center" vertical="center"/>
    </xf>
    <xf numFmtId="0" fontId="26" fillId="4" borderId="24" xfId="0" applyFont="1" applyFill="1" applyBorder="1" applyAlignment="1">
      <alignment horizontal="center" vertical="center"/>
    </xf>
    <xf numFmtId="0" fontId="28" fillId="2" borderId="6" xfId="0" applyFont="1" applyFill="1" applyBorder="1" applyAlignment="1">
      <alignment vertical="center"/>
    </xf>
    <xf numFmtId="0" fontId="28" fillId="2" borderId="23" xfId="0" applyFont="1" applyFill="1" applyBorder="1" applyAlignment="1">
      <alignment vertical="center"/>
    </xf>
    <xf numFmtId="0" fontId="28" fillId="2" borderId="1" xfId="0" applyFont="1" applyFill="1" applyBorder="1" applyAlignment="1">
      <alignment horizontal="center" vertical="center"/>
    </xf>
    <xf numFmtId="9" fontId="28" fillId="2" borderId="24" xfId="0" applyNumberFormat="1" applyFont="1" applyFill="1" applyBorder="1" applyAlignment="1">
      <alignment horizontal="center" vertical="center"/>
    </xf>
    <xf numFmtId="0" fontId="26" fillId="2" borderId="23" xfId="0" applyFont="1" applyFill="1" applyBorder="1" applyAlignment="1">
      <alignment horizontal="center" vertical="center"/>
    </xf>
    <xf numFmtId="0" fontId="26" fillId="2" borderId="1" xfId="0" applyFont="1" applyFill="1" applyBorder="1" applyAlignment="1">
      <alignment horizontal="center" vertical="center"/>
    </xf>
    <xf numFmtId="0" fontId="26" fillId="2" borderId="24" xfId="0" applyFont="1" applyFill="1" applyBorder="1" applyAlignment="1">
      <alignment horizontal="center" vertical="center"/>
    </xf>
    <xf numFmtId="0" fontId="28" fillId="2" borderId="24" xfId="0" applyFont="1" applyFill="1" applyBorder="1" applyAlignment="1">
      <alignment horizontal="center" vertical="center"/>
    </xf>
    <xf numFmtId="0" fontId="28" fillId="5" borderId="6" xfId="0" applyFont="1" applyFill="1" applyBorder="1" applyAlignment="1">
      <alignment vertical="center"/>
    </xf>
    <xf numFmtId="0" fontId="28" fillId="5" borderId="23" xfId="0" applyFont="1" applyFill="1" applyBorder="1" applyAlignment="1">
      <alignment vertical="center"/>
    </xf>
    <xf numFmtId="0" fontId="28" fillId="5" borderId="1" xfId="0" applyFont="1" applyFill="1" applyBorder="1" applyAlignment="1">
      <alignment horizontal="center" vertical="center"/>
    </xf>
    <xf numFmtId="9" fontId="28" fillId="5" borderId="24" xfId="0" applyNumberFormat="1" applyFont="1" applyFill="1" applyBorder="1" applyAlignment="1">
      <alignment horizontal="center" vertical="center"/>
    </xf>
    <xf numFmtId="0" fontId="26" fillId="5" borderId="23" xfId="0" applyFont="1" applyFill="1" applyBorder="1" applyAlignment="1">
      <alignment horizontal="center" vertical="center"/>
    </xf>
    <xf numFmtId="0" fontId="26" fillId="5" borderId="1" xfId="0" applyFont="1" applyFill="1" applyBorder="1" applyAlignment="1">
      <alignment horizontal="center" vertical="center"/>
    </xf>
    <xf numFmtId="0" fontId="26" fillId="5" borderId="24" xfId="0" applyFont="1" applyFill="1" applyBorder="1" applyAlignment="1">
      <alignment horizontal="center" vertical="center"/>
    </xf>
    <xf numFmtId="10" fontId="28" fillId="5" borderId="1" xfId="0" applyNumberFormat="1" applyFont="1" applyFill="1" applyBorder="1" applyAlignment="1">
      <alignment horizontal="center" vertical="center"/>
    </xf>
    <xf numFmtId="9" fontId="28" fillId="5" borderId="1" xfId="0" applyNumberFormat="1" applyFont="1" applyFill="1" applyBorder="1" applyAlignment="1">
      <alignment horizontal="center" vertical="center"/>
    </xf>
    <xf numFmtId="0" fontId="28" fillId="5" borderId="24" xfId="0" applyFont="1" applyFill="1" applyBorder="1" applyAlignment="1">
      <alignment horizontal="center" vertical="center"/>
    </xf>
    <xf numFmtId="0" fontId="28" fillId="3" borderId="6" xfId="0" applyFont="1" applyFill="1" applyBorder="1" applyAlignment="1">
      <alignment vertical="center"/>
    </xf>
    <xf numFmtId="0" fontId="28" fillId="3" borderId="23" xfId="0" applyFont="1" applyFill="1" applyBorder="1" applyAlignment="1">
      <alignment vertical="center"/>
    </xf>
    <xf numFmtId="0" fontId="28" fillId="3" borderId="1" xfId="0" applyFont="1" applyFill="1" applyBorder="1" applyAlignment="1">
      <alignment horizontal="center" vertical="center"/>
    </xf>
    <xf numFmtId="0" fontId="28" fillId="3" borderId="24" xfId="0" applyFont="1" applyFill="1" applyBorder="1" applyAlignment="1">
      <alignment horizontal="center" vertical="center"/>
    </xf>
    <xf numFmtId="0" fontId="26" fillId="3" borderId="23" xfId="0" applyFont="1" applyFill="1" applyBorder="1" applyAlignment="1">
      <alignment horizontal="center" vertical="center"/>
    </xf>
    <xf numFmtId="0" fontId="26" fillId="3" borderId="1" xfId="0" applyFont="1" applyFill="1" applyBorder="1" applyAlignment="1">
      <alignment horizontal="center" vertical="center"/>
    </xf>
    <xf numFmtId="0" fontId="26" fillId="3" borderId="24" xfId="0" applyFont="1" applyFill="1" applyBorder="1" applyAlignment="1">
      <alignment horizontal="center" vertical="center"/>
    </xf>
    <xf numFmtId="9" fontId="28" fillId="3" borderId="24" xfId="0" applyNumberFormat="1" applyFont="1" applyFill="1" applyBorder="1" applyAlignment="1">
      <alignment horizontal="center" vertical="center"/>
    </xf>
    <xf numFmtId="0" fontId="28" fillId="3" borderId="43" xfId="0" applyFont="1" applyFill="1" applyBorder="1" applyAlignment="1">
      <alignment vertical="center"/>
    </xf>
    <xf numFmtId="0" fontId="28" fillId="3" borderId="25" xfId="0" applyFont="1" applyFill="1" applyBorder="1" applyAlignment="1">
      <alignment vertical="center"/>
    </xf>
    <xf numFmtId="9" fontId="28" fillId="3" borderId="26" xfId="0" applyNumberFormat="1" applyFont="1" applyFill="1" applyBorder="1" applyAlignment="1">
      <alignment horizontal="center" vertical="center"/>
    </xf>
    <xf numFmtId="9" fontId="28" fillId="3" borderId="27" xfId="0" applyNumberFormat="1" applyFont="1" applyFill="1" applyBorder="1" applyAlignment="1">
      <alignment horizontal="center" vertical="center"/>
    </xf>
    <xf numFmtId="0" fontId="26" fillId="3" borderId="25" xfId="0" applyFont="1" applyFill="1" applyBorder="1" applyAlignment="1">
      <alignment horizontal="center" vertical="center"/>
    </xf>
    <xf numFmtId="0" fontId="26" fillId="3" borderId="26" xfId="0" applyFont="1" applyFill="1" applyBorder="1" applyAlignment="1">
      <alignment horizontal="center" vertical="center"/>
    </xf>
    <xf numFmtId="0" fontId="26" fillId="3" borderId="27" xfId="0" applyFont="1" applyFill="1" applyBorder="1" applyAlignment="1">
      <alignment horizontal="center" vertical="center"/>
    </xf>
    <xf numFmtId="0" fontId="0" fillId="0" borderId="0" xfId="0" applyAlignment="1">
      <alignment vertical="center"/>
    </xf>
    <xf numFmtId="0" fontId="5" fillId="6" borderId="1" xfId="0" applyFont="1" applyFill="1" applyBorder="1" applyAlignment="1">
      <alignment horizontal="center" vertical="center" wrapText="1"/>
    </xf>
    <xf numFmtId="0" fontId="16" fillId="6" borderId="1" xfId="0" quotePrefix="1" applyFont="1" applyFill="1" applyBorder="1" applyAlignment="1">
      <alignment horizontal="left" vertical="center"/>
    </xf>
    <xf numFmtId="0" fontId="16" fillId="6" borderId="1" xfId="0" applyFont="1" applyFill="1" applyBorder="1" applyAlignment="1">
      <alignment vertical="center"/>
    </xf>
    <xf numFmtId="0" fontId="16" fillId="6" borderId="1" xfId="0" applyFont="1" applyFill="1" applyBorder="1" applyAlignment="1">
      <alignment horizontal="left" vertical="center"/>
    </xf>
    <xf numFmtId="0" fontId="61" fillId="0" borderId="4" xfId="0" applyFont="1" applyBorder="1" applyAlignment="1">
      <alignment vertical="center" wrapText="1"/>
    </xf>
    <xf numFmtId="0" fontId="61" fillId="0" borderId="1" xfId="0" applyFont="1" applyBorder="1" applyAlignment="1">
      <alignment vertical="center" wrapText="1"/>
    </xf>
    <xf numFmtId="0" fontId="62" fillId="0" borderId="1" xfId="0" quotePrefix="1" applyFont="1" applyBorder="1" applyAlignment="1">
      <alignment horizontal="left" vertical="center"/>
    </xf>
    <xf numFmtId="0" fontId="62" fillId="0" borderId="1" xfId="0" applyFont="1" applyBorder="1" applyAlignment="1">
      <alignment vertical="center"/>
    </xf>
    <xf numFmtId="0" fontId="62" fillId="0" borderId="1" xfId="0" applyFont="1" applyBorder="1" applyAlignment="1">
      <alignment vertical="center" wrapText="1"/>
    </xf>
    <xf numFmtId="16" fontId="62" fillId="0" borderId="1" xfId="0" quotePrefix="1" applyNumberFormat="1" applyFont="1" applyBorder="1" applyAlignment="1">
      <alignment horizontal="left" vertical="center"/>
    </xf>
    <xf numFmtId="0" fontId="3" fillId="6" borderId="0" xfId="0" applyFont="1" applyFill="1" applyAlignment="1">
      <alignment horizontal="left" vertical="center"/>
    </xf>
    <xf numFmtId="0" fontId="18" fillId="6" borderId="0" xfId="0" applyFont="1" applyFill="1" applyAlignment="1">
      <alignment vertical="center"/>
    </xf>
    <xf numFmtId="0" fontId="25" fillId="6" borderId="12" xfId="0" applyFont="1" applyFill="1" applyBorder="1" applyAlignment="1">
      <alignment horizontal="left" vertical="center"/>
    </xf>
    <xf numFmtId="0" fontId="23" fillId="6" borderId="0" xfId="0" applyFont="1" applyFill="1" applyAlignment="1">
      <alignment horizontal="left" vertical="center"/>
    </xf>
    <xf numFmtId="0" fontId="23" fillId="6" borderId="0" xfId="0" applyFont="1" applyFill="1" applyAlignment="1">
      <alignment vertical="center"/>
    </xf>
    <xf numFmtId="0" fontId="23" fillId="6" borderId="13" xfId="0" applyFont="1" applyFill="1" applyBorder="1" applyAlignment="1">
      <alignment vertical="center"/>
    </xf>
    <xf numFmtId="16" fontId="12" fillId="6" borderId="12" xfId="0" quotePrefix="1" applyNumberFormat="1" applyFont="1" applyFill="1" applyBorder="1" applyAlignment="1">
      <alignment horizontal="left" vertical="center"/>
    </xf>
    <xf numFmtId="0" fontId="12" fillId="6" borderId="13" xfId="0" applyFont="1" applyFill="1" applyBorder="1" applyAlignment="1">
      <alignment horizontal="left" vertical="center"/>
    </xf>
    <xf numFmtId="0" fontId="3" fillId="6" borderId="7" xfId="0" applyFont="1" applyFill="1" applyBorder="1" applyAlignment="1">
      <alignment vertical="center"/>
    </xf>
    <xf numFmtId="0" fontId="14" fillId="6" borderId="7" xfId="0" applyFont="1" applyFill="1" applyBorder="1" applyAlignment="1">
      <alignment horizontal="right" vertical="center"/>
    </xf>
    <xf numFmtId="0" fontId="63" fillId="0" borderId="0" xfId="0" applyFont="1" applyAlignment="1">
      <alignment horizontal="left" vertical="center"/>
    </xf>
    <xf numFmtId="14" fontId="55" fillId="0" borderId="0" xfId="0" applyNumberFormat="1" applyFont="1" applyAlignment="1">
      <alignment vertical="center"/>
    </xf>
    <xf numFmtId="0" fontId="67" fillId="0" borderId="1" xfId="0" applyFont="1" applyBorder="1" applyAlignment="1">
      <alignment horizontal="center" vertical="center"/>
    </xf>
    <xf numFmtId="0" fontId="67" fillId="0" borderId="13" xfId="0" applyFont="1" applyBorder="1" applyAlignment="1">
      <alignment horizontal="center" vertical="center"/>
    </xf>
    <xf numFmtId="0" fontId="68" fillId="6" borderId="16" xfId="0" applyFont="1" applyFill="1" applyBorder="1" applyAlignment="1">
      <alignment horizontal="center" vertical="center"/>
    </xf>
    <xf numFmtId="0" fontId="25" fillId="6" borderId="0" xfId="0" applyFont="1" applyFill="1" applyAlignment="1">
      <alignment horizontal="left" vertical="center"/>
    </xf>
    <xf numFmtId="16" fontId="12" fillId="6" borderId="0" xfId="0" quotePrefix="1" applyNumberFormat="1" applyFont="1" applyFill="1" applyAlignment="1">
      <alignment horizontal="left" vertical="center"/>
    </xf>
    <xf numFmtId="0" fontId="5" fillId="6" borderId="0" xfId="0" applyFont="1" applyFill="1" applyAlignment="1">
      <alignment horizontal="center" vertical="center"/>
    </xf>
    <xf numFmtId="0" fontId="12" fillId="6" borderId="7" xfId="0" applyFont="1" applyFill="1" applyBorder="1" applyAlignment="1">
      <alignment horizontal="left" vertical="center"/>
    </xf>
    <xf numFmtId="0" fontId="74" fillId="0" borderId="1" xfId="0" applyFont="1" applyBorder="1" applyAlignment="1">
      <alignment vertical="center" wrapText="1"/>
    </xf>
    <xf numFmtId="0" fontId="12" fillId="6" borderId="1" xfId="0" applyFont="1" applyFill="1" applyBorder="1" applyAlignment="1">
      <alignment horizontal="center" vertical="center" wrapText="1"/>
    </xf>
    <xf numFmtId="0" fontId="13" fillId="6" borderId="15" xfId="0" applyFont="1" applyFill="1" applyBorder="1" applyAlignment="1">
      <alignment vertical="center"/>
    </xf>
    <xf numFmtId="0" fontId="13" fillId="6" borderId="5" xfId="0" applyFont="1" applyFill="1" applyBorder="1" applyAlignment="1">
      <alignment vertical="center"/>
    </xf>
    <xf numFmtId="0" fontId="74" fillId="0" borderId="1" xfId="0" applyFont="1" applyBorder="1" applyAlignment="1">
      <alignment vertical="center"/>
    </xf>
    <xf numFmtId="0" fontId="74" fillId="0" borderId="1" xfId="0" applyFont="1" applyBorder="1" applyAlignment="1">
      <alignment horizontal="left" vertical="center"/>
    </xf>
    <xf numFmtId="14" fontId="33" fillId="6" borderId="13" xfId="0" applyNumberFormat="1" applyFont="1" applyFill="1" applyBorder="1" applyAlignment="1">
      <alignment horizontal="center" vertical="center"/>
    </xf>
    <xf numFmtId="0" fontId="3" fillId="6" borderId="4" xfId="0" applyFont="1" applyFill="1" applyBorder="1" applyAlignment="1">
      <alignment horizontal="center" vertical="center" wrapText="1"/>
    </xf>
    <xf numFmtId="1" fontId="72" fillId="6" borderId="0" xfId="0" quotePrefix="1" applyNumberFormat="1" applyFont="1" applyFill="1" applyAlignment="1">
      <alignment horizontal="center" vertical="center"/>
    </xf>
    <xf numFmtId="0" fontId="72" fillId="6" borderId="0" xfId="0" applyFont="1" applyFill="1" applyAlignment="1">
      <alignment vertical="center"/>
    </xf>
    <xf numFmtId="1" fontId="12" fillId="6" borderId="0" xfId="0" quotePrefix="1" applyNumberFormat="1" applyFont="1" applyFill="1" applyAlignment="1">
      <alignment horizontal="center" vertical="center"/>
    </xf>
    <xf numFmtId="0" fontId="12" fillId="6" borderId="0" xfId="0" applyFont="1" applyFill="1" applyAlignment="1">
      <alignment vertical="center"/>
    </xf>
    <xf numFmtId="0" fontId="12" fillId="6" borderId="0" xfId="0" applyFont="1" applyFill="1" applyAlignment="1">
      <alignment horizontal="center" vertical="center"/>
    </xf>
    <xf numFmtId="1" fontId="16" fillId="6" borderId="0" xfId="0" quotePrefix="1" applyNumberFormat="1" applyFont="1" applyFill="1" applyAlignment="1">
      <alignment horizontal="center" vertical="center"/>
    </xf>
    <xf numFmtId="0" fontId="16" fillId="6" borderId="0" xfId="0" applyFont="1" applyFill="1" applyAlignment="1">
      <alignment vertical="center"/>
    </xf>
    <xf numFmtId="1" fontId="12" fillId="6" borderId="0" xfId="0" quotePrefix="1" applyNumberFormat="1" applyFont="1" applyFill="1" applyAlignment="1">
      <alignment horizontal="right" vertical="center"/>
    </xf>
    <xf numFmtId="1" fontId="76" fillId="0" borderId="1" xfId="0" applyNumberFormat="1" applyFont="1" applyBorder="1" applyAlignment="1">
      <alignment horizontal="center" vertical="center"/>
    </xf>
    <xf numFmtId="1" fontId="61" fillId="0" borderId="12" xfId="0" quotePrefix="1" applyNumberFormat="1" applyFont="1" applyBorder="1" applyAlignment="1">
      <alignment horizontal="center" vertical="top"/>
    </xf>
    <xf numFmtId="1" fontId="61" fillId="6" borderId="12" xfId="0" quotePrefix="1" applyNumberFormat="1" applyFont="1" applyFill="1" applyBorder="1" applyAlignment="1">
      <alignment horizontal="center" vertical="top"/>
    </xf>
    <xf numFmtId="0" fontId="72" fillId="6" borderId="13" xfId="0" applyFont="1" applyFill="1" applyBorder="1" applyAlignment="1">
      <alignment horizontal="center" vertical="center"/>
    </xf>
    <xf numFmtId="1" fontId="12" fillId="6" borderId="12" xfId="0" quotePrefix="1" applyNumberFormat="1" applyFont="1" applyFill="1" applyBorder="1" applyAlignment="1">
      <alignment horizontal="center" vertical="center"/>
    </xf>
    <xf numFmtId="1" fontId="16" fillId="6" borderId="12" xfId="0" quotePrefix="1" applyNumberFormat="1" applyFont="1" applyFill="1" applyBorder="1" applyAlignment="1">
      <alignment horizontal="center" vertical="center"/>
    </xf>
    <xf numFmtId="0" fontId="12" fillId="0" borderId="5" xfId="0" applyFont="1" applyBorder="1" applyAlignment="1">
      <alignment horizontal="center" vertical="center"/>
    </xf>
    <xf numFmtId="0" fontId="74" fillId="0" borderId="5" xfId="0" applyFont="1" applyBorder="1" applyAlignment="1">
      <alignment vertical="center"/>
    </xf>
    <xf numFmtId="0" fontId="73" fillId="0" borderId="12" xfId="0" applyFont="1" applyBorder="1" applyAlignment="1">
      <alignment horizontal="left" vertical="center"/>
    </xf>
    <xf numFmtId="0" fontId="60" fillId="0" borderId="5" xfId="0" applyFont="1" applyBorder="1" applyAlignment="1">
      <alignment vertical="center"/>
    </xf>
    <xf numFmtId="0" fontId="60" fillId="0" borderId="13" xfId="0" applyFont="1" applyBorder="1" applyAlignment="1">
      <alignment vertical="center"/>
    </xf>
    <xf numFmtId="0" fontId="73" fillId="0" borderId="10" xfId="0" applyFont="1" applyBorder="1" applyAlignment="1">
      <alignment horizontal="left" vertical="center"/>
    </xf>
    <xf numFmtId="0" fontId="60" fillId="0" borderId="11" xfId="0" applyFont="1" applyBorder="1" applyAlignment="1">
      <alignment vertical="center"/>
    </xf>
    <xf numFmtId="0" fontId="69" fillId="0" borderId="1" xfId="0" applyFont="1" applyBorder="1" applyAlignment="1">
      <alignment horizontal="center" vertical="center"/>
    </xf>
    <xf numFmtId="14" fontId="69" fillId="0" borderId="0" xfId="0" applyNumberFormat="1" applyFont="1" applyAlignment="1">
      <alignment horizontal="left" vertical="center"/>
    </xf>
    <xf numFmtId="14" fontId="69" fillId="0" borderId="1" xfId="0" applyNumberFormat="1" applyFont="1" applyBorder="1" applyAlignment="1">
      <alignment horizontal="center" vertical="center" wrapText="1"/>
    </xf>
    <xf numFmtId="14" fontId="28" fillId="0" borderId="1" xfId="0" applyNumberFormat="1" applyFont="1" applyBorder="1" applyAlignment="1">
      <alignment horizontal="center" vertical="center" wrapText="1"/>
    </xf>
    <xf numFmtId="0" fontId="0" fillId="6" borderId="0" xfId="0" applyFill="1" applyAlignment="1">
      <alignment horizontal="center" vertical="center"/>
    </xf>
    <xf numFmtId="14" fontId="28" fillId="0" borderId="1" xfId="0" applyNumberFormat="1" applyFont="1" applyBorder="1" applyAlignment="1">
      <alignment horizontal="center" vertical="center"/>
    </xf>
    <xf numFmtId="0" fontId="12" fillId="0" borderId="10" xfId="0" applyFont="1" applyBorder="1" applyAlignment="1">
      <alignment horizontal="center" vertical="center"/>
    </xf>
    <xf numFmtId="0" fontId="69" fillId="0" borderId="0" xfId="0" applyFont="1" applyAlignment="1">
      <alignment horizontal="center" vertical="center"/>
    </xf>
    <xf numFmtId="0" fontId="69" fillId="0" borderId="0" xfId="0" applyFont="1" applyAlignment="1">
      <alignment vertical="center"/>
    </xf>
    <xf numFmtId="0" fontId="72" fillId="0" borderId="0" xfId="0" applyFont="1" applyAlignment="1">
      <alignment horizontal="center" vertical="center"/>
    </xf>
    <xf numFmtId="0" fontId="72" fillId="0" borderId="5" xfId="0" applyFont="1" applyBorder="1" applyAlignment="1">
      <alignment horizontal="center" vertical="center"/>
    </xf>
    <xf numFmtId="0" fontId="72" fillId="0" borderId="5" xfId="0" applyFont="1" applyBorder="1" applyAlignment="1">
      <alignment vertical="center" wrapText="1"/>
    </xf>
    <xf numFmtId="0" fontId="72" fillId="0" borderId="12" xfId="0" applyFont="1" applyBorder="1" applyAlignment="1">
      <alignment horizontal="center" vertical="center"/>
    </xf>
    <xf numFmtId="0" fontId="72" fillId="0" borderId="13" xfId="0" applyFont="1" applyBorder="1" applyAlignment="1">
      <alignment horizontal="center" vertical="center"/>
    </xf>
    <xf numFmtId="0" fontId="72" fillId="0" borderId="13" xfId="0" applyFont="1" applyBorder="1" applyAlignment="1">
      <alignment horizontal="center" vertical="center" wrapText="1"/>
    </xf>
    <xf numFmtId="0" fontId="61" fillId="0" borderId="5" xfId="0" applyFont="1" applyBorder="1" applyAlignment="1">
      <alignment vertical="center"/>
    </xf>
    <xf numFmtId="0" fontId="72" fillId="0" borderId="11" xfId="0" applyFont="1" applyBorder="1" applyAlignment="1">
      <alignment horizontal="center" vertical="center"/>
    </xf>
    <xf numFmtId="0" fontId="69" fillId="0" borderId="13" xfId="0" applyFont="1" applyBorder="1" applyAlignment="1">
      <alignment vertical="center"/>
    </xf>
    <xf numFmtId="0" fontId="69" fillId="0" borderId="11" xfId="0" applyFont="1" applyBorder="1" applyAlignment="1">
      <alignment vertical="center"/>
    </xf>
    <xf numFmtId="0" fontId="69" fillId="0" borderId="5" xfId="0" applyFont="1" applyBorder="1" applyAlignment="1">
      <alignment vertical="center"/>
    </xf>
    <xf numFmtId="0" fontId="69" fillId="0" borderId="12" xfId="0" applyFont="1" applyBorder="1" applyAlignment="1">
      <alignment horizontal="center" vertical="center"/>
    </xf>
    <xf numFmtId="0" fontId="69" fillId="0" borderId="13" xfId="0" applyFont="1" applyBorder="1" applyAlignment="1">
      <alignment horizontal="center" vertical="center"/>
    </xf>
    <xf numFmtId="0" fontId="69" fillId="0" borderId="10" xfId="0" applyFont="1" applyBorder="1" applyAlignment="1">
      <alignment horizontal="center" vertical="center"/>
    </xf>
    <xf numFmtId="0" fontId="69" fillId="0" borderId="5" xfId="0" applyFont="1" applyBorder="1" applyAlignment="1">
      <alignment horizontal="center" vertical="center"/>
    </xf>
    <xf numFmtId="0" fontId="28" fillId="6" borderId="0" xfId="0" applyFont="1" applyFill="1" applyAlignment="1">
      <alignment horizontal="left" vertical="center"/>
    </xf>
    <xf numFmtId="14" fontId="69" fillId="0" borderId="1" xfId="0" applyNumberFormat="1" applyFont="1" applyBorder="1" applyAlignment="1">
      <alignment horizontal="center" vertical="center"/>
    </xf>
    <xf numFmtId="9" fontId="79" fillId="13" borderId="0" xfId="0" applyNumberFormat="1" applyFont="1" applyFill="1" applyAlignment="1">
      <alignment horizontal="center" vertical="center"/>
    </xf>
    <xf numFmtId="0" fontId="79" fillId="0" borderId="0" xfId="0" applyFont="1" applyAlignment="1">
      <alignment horizontal="center" vertical="center"/>
    </xf>
    <xf numFmtId="0" fontId="79" fillId="0" borderId="13" xfId="0" applyFont="1" applyBorder="1" applyAlignment="1">
      <alignment horizontal="center" vertical="center"/>
    </xf>
    <xf numFmtId="0" fontId="79" fillId="0" borderId="12" xfId="0" applyFont="1" applyBorder="1" applyAlignment="1">
      <alignment horizontal="center" vertical="center"/>
    </xf>
    <xf numFmtId="0" fontId="79" fillId="13" borderId="0" xfId="0" applyFont="1" applyFill="1" applyAlignment="1">
      <alignment horizontal="center" vertical="center"/>
    </xf>
    <xf numFmtId="9" fontId="79" fillId="14" borderId="0" xfId="0" applyNumberFormat="1" applyFont="1" applyFill="1" applyAlignment="1">
      <alignment horizontal="center" vertical="center"/>
    </xf>
    <xf numFmtId="0" fontId="79" fillId="14" borderId="0" xfId="0" applyFont="1" applyFill="1" applyAlignment="1">
      <alignment horizontal="center" vertical="center"/>
    </xf>
    <xf numFmtId="0" fontId="79" fillId="0" borderId="13" xfId="0" applyFont="1" applyBorder="1" applyAlignment="1">
      <alignment vertical="center"/>
    </xf>
    <xf numFmtId="0" fontId="79" fillId="0" borderId="0" xfId="0" applyFont="1" applyAlignment="1">
      <alignment vertical="center"/>
    </xf>
    <xf numFmtId="20" fontId="69" fillId="0" borderId="1" xfId="0" applyNumberFormat="1" applyFont="1" applyBorder="1" applyAlignment="1">
      <alignment horizontal="center" vertical="center"/>
    </xf>
    <xf numFmtId="20" fontId="28" fillId="0" borderId="1" xfId="0" applyNumberFormat="1" applyFont="1" applyBorder="1" applyAlignment="1">
      <alignment horizontal="center" vertical="center"/>
    </xf>
    <xf numFmtId="9" fontId="79" fillId="0" borderId="0" xfId="0" applyNumberFormat="1" applyFont="1" applyAlignment="1">
      <alignment horizontal="center" vertical="center"/>
    </xf>
    <xf numFmtId="0" fontId="80" fillId="0" borderId="0" xfId="0" applyFont="1" applyAlignment="1">
      <alignment horizontal="left" vertical="center"/>
    </xf>
    <xf numFmtId="0" fontId="31" fillId="0" borderId="0" xfId="0" applyFont="1" applyAlignment="1">
      <alignment vertical="center"/>
    </xf>
    <xf numFmtId="14" fontId="31" fillId="0" borderId="0" xfId="0" applyNumberFormat="1" applyFont="1" applyAlignment="1">
      <alignment horizontal="left"/>
    </xf>
    <xf numFmtId="0" fontId="31" fillId="0" borderId="0" xfId="0" applyFont="1" applyAlignment="1">
      <alignment horizontal="left"/>
    </xf>
    <xf numFmtId="0" fontId="53" fillId="6" borderId="15" xfId="0" applyFont="1" applyFill="1" applyBorder="1" applyAlignment="1">
      <alignment vertical="center"/>
    </xf>
    <xf numFmtId="0" fontId="5" fillId="6" borderId="15" xfId="0" applyFont="1" applyFill="1" applyBorder="1" applyAlignment="1">
      <alignment vertical="center"/>
    </xf>
    <xf numFmtId="0" fontId="5" fillId="6" borderId="9" xfId="0" applyFont="1" applyFill="1" applyBorder="1" applyAlignment="1">
      <alignment vertical="center"/>
    </xf>
    <xf numFmtId="0" fontId="1" fillId="6" borderId="5" xfId="0" applyFont="1" applyFill="1" applyBorder="1" applyAlignment="1">
      <alignment vertical="center"/>
    </xf>
    <xf numFmtId="0" fontId="11" fillId="6" borderId="8" xfId="0" applyFont="1" applyFill="1" applyBorder="1"/>
    <xf numFmtId="0" fontId="38" fillId="6" borderId="10" xfId="0" applyFont="1" applyFill="1" applyBorder="1"/>
    <xf numFmtId="14" fontId="69" fillId="0" borderId="0" xfId="0" applyNumberFormat="1" applyFont="1" applyAlignment="1">
      <alignment horizontal="center" vertical="center"/>
    </xf>
    <xf numFmtId="0" fontId="61" fillId="0" borderId="0" xfId="0" applyFont="1" applyAlignment="1">
      <alignment horizontal="center" vertical="center"/>
    </xf>
    <xf numFmtId="3" fontId="69" fillId="0" borderId="0" xfId="0" applyNumberFormat="1" applyFont="1" applyAlignment="1">
      <alignment horizontal="center" vertical="center"/>
    </xf>
    <xf numFmtId="164" fontId="61" fillId="0" borderId="0" xfId="0" applyNumberFormat="1" applyFont="1" applyAlignment="1">
      <alignment horizontal="center" vertical="center"/>
    </xf>
    <xf numFmtId="1" fontId="77" fillId="13" borderId="1" xfId="0" applyNumberFormat="1" applyFont="1" applyFill="1" applyBorder="1" applyAlignment="1">
      <alignment horizontal="center" vertical="center"/>
    </xf>
    <xf numFmtId="1" fontId="76" fillId="13" borderId="1" xfId="0" applyNumberFormat="1" applyFont="1" applyFill="1" applyBorder="1" applyAlignment="1">
      <alignment horizontal="center" vertical="center"/>
    </xf>
    <xf numFmtId="1" fontId="77" fillId="15" borderId="1" xfId="0" applyNumberFormat="1" applyFont="1" applyFill="1" applyBorder="1" applyAlignment="1">
      <alignment horizontal="center" vertical="center"/>
    </xf>
    <xf numFmtId="1" fontId="77" fillId="0" borderId="1" xfId="0" applyNumberFormat="1" applyFont="1" applyBorder="1" applyAlignment="1">
      <alignment horizontal="center" vertical="center"/>
    </xf>
    <xf numFmtId="1" fontId="77" fillId="16" borderId="1" xfId="0" applyNumberFormat="1" applyFont="1" applyFill="1" applyBorder="1" applyAlignment="1">
      <alignment horizontal="center" vertical="center"/>
    </xf>
    <xf numFmtId="1" fontId="76" fillId="16" borderId="1" xfId="0" applyNumberFormat="1" applyFont="1" applyFill="1" applyBorder="1" applyAlignment="1">
      <alignment horizontal="center" vertical="center"/>
    </xf>
    <xf numFmtId="0" fontId="39" fillId="6" borderId="0" xfId="0" applyFont="1" applyFill="1" applyAlignment="1">
      <alignment horizontal="right" vertical="center"/>
    </xf>
    <xf numFmtId="0" fontId="39" fillId="6" borderId="0" xfId="0" applyFont="1" applyFill="1" applyAlignment="1">
      <alignment horizontal="center" vertical="center"/>
    </xf>
    <xf numFmtId="0" fontId="82" fillId="0" borderId="0" xfId="0" applyFont="1" applyAlignment="1">
      <alignment vertical="center"/>
    </xf>
    <xf numFmtId="1" fontId="83" fillId="0" borderId="12" xfId="0" quotePrefix="1" applyNumberFormat="1" applyFont="1" applyBorder="1" applyAlignment="1">
      <alignment horizontal="center" vertical="center"/>
    </xf>
    <xf numFmtId="0" fontId="1" fillId="0" borderId="8" xfId="0" applyFont="1" applyBorder="1" applyAlignment="1">
      <alignment vertical="center"/>
    </xf>
    <xf numFmtId="0" fontId="1" fillId="0" borderId="15" xfId="0" applyFont="1" applyBorder="1" applyAlignment="1">
      <alignment vertical="center"/>
    </xf>
    <xf numFmtId="0" fontId="20" fillId="0" borderId="15" xfId="0" applyFont="1" applyBorder="1" applyAlignment="1">
      <alignment vertical="center"/>
    </xf>
    <xf numFmtId="0" fontId="1" fillId="0" borderId="12" xfId="0" applyFont="1" applyBorder="1" applyAlignment="1">
      <alignment vertical="center"/>
    </xf>
    <xf numFmtId="0" fontId="4" fillId="0" borderId="13" xfId="0" applyFont="1" applyBorder="1" applyAlignment="1">
      <alignment horizontal="center" vertical="center"/>
    </xf>
    <xf numFmtId="0" fontId="20" fillId="0" borderId="0" xfId="0" applyFont="1" applyAlignment="1">
      <alignment vertical="center"/>
    </xf>
    <xf numFmtId="0" fontId="1" fillId="0" borderId="10" xfId="0" applyFont="1" applyBorder="1" applyAlignment="1">
      <alignment vertical="center"/>
    </xf>
    <xf numFmtId="0" fontId="1" fillId="0" borderId="5" xfId="0" applyFont="1" applyBorder="1" applyAlignment="1">
      <alignment vertical="center"/>
    </xf>
    <xf numFmtId="0" fontId="13" fillId="0" borderId="12" xfId="0" applyFont="1" applyBorder="1" applyAlignment="1">
      <alignment vertical="center"/>
    </xf>
    <xf numFmtId="0" fontId="13" fillId="0" borderId="5" xfId="0" applyFont="1" applyBorder="1" applyAlignment="1">
      <alignment vertical="center"/>
    </xf>
    <xf numFmtId="14" fontId="74" fillId="0" borderId="1" xfId="0" applyNumberFormat="1" applyFont="1" applyBorder="1" applyAlignment="1">
      <alignment horizontal="center" vertical="center"/>
    </xf>
    <xf numFmtId="0" fontId="47" fillId="7" borderId="15" xfId="0" applyFont="1" applyFill="1" applyBorder="1" applyAlignment="1">
      <alignment horizontal="right"/>
    </xf>
    <xf numFmtId="16" fontId="5" fillId="6" borderId="15" xfId="0" quotePrefix="1" applyNumberFormat="1" applyFont="1" applyFill="1" applyBorder="1" applyAlignment="1">
      <alignment horizontal="left" vertical="center"/>
    </xf>
    <xf numFmtId="0" fontId="5" fillId="6" borderId="5" xfId="0" applyFont="1" applyFill="1" applyBorder="1" applyAlignment="1">
      <alignment horizontal="center" vertical="center"/>
    </xf>
    <xf numFmtId="0" fontId="15" fillId="0" borderId="0" xfId="0" applyFont="1" applyAlignment="1">
      <alignment horizontal="center"/>
    </xf>
    <xf numFmtId="0" fontId="12" fillId="7" borderId="7" xfId="0" applyFont="1" applyFill="1" applyBorder="1" applyAlignment="1">
      <alignment horizontal="left"/>
    </xf>
    <xf numFmtId="0" fontId="13" fillId="0" borderId="0" xfId="0" applyFont="1" applyAlignment="1">
      <alignment horizontal="center"/>
    </xf>
    <xf numFmtId="0" fontId="12" fillId="7" borderId="15" xfId="0" applyFont="1" applyFill="1" applyBorder="1" applyAlignment="1">
      <alignment horizontal="left"/>
    </xf>
    <xf numFmtId="0" fontId="4" fillId="0" borderId="5" xfId="0" applyFont="1" applyBorder="1" applyAlignment="1">
      <alignment horizontal="center" vertical="center"/>
    </xf>
    <xf numFmtId="0" fontId="13" fillId="0" borderId="0" xfId="0" applyFont="1" applyAlignment="1">
      <alignment horizontal="left"/>
    </xf>
    <xf numFmtId="0" fontId="41" fillId="0" borderId="2" xfId="0" applyFont="1" applyBorder="1" applyAlignment="1">
      <alignment horizontal="center"/>
    </xf>
    <xf numFmtId="0" fontId="47" fillId="7" borderId="44" xfId="0" applyFont="1" applyFill="1" applyBorder="1" applyAlignment="1">
      <alignment horizontal="right"/>
    </xf>
    <xf numFmtId="0" fontId="15" fillId="0" borderId="15" xfId="0" applyFont="1" applyBorder="1" applyAlignment="1">
      <alignment horizontal="left" vertical="center"/>
    </xf>
    <xf numFmtId="0" fontId="44" fillId="0" borderId="15" xfId="0" applyFont="1" applyBorder="1" applyAlignment="1">
      <alignment horizontal="left"/>
    </xf>
    <xf numFmtId="0" fontId="19" fillId="0" borderId="5" xfId="0" applyFont="1" applyBorder="1" applyAlignment="1">
      <alignment horizontal="left"/>
    </xf>
    <xf numFmtId="0" fontId="12" fillId="6" borderId="11" xfId="0" applyFont="1" applyFill="1" applyBorder="1" applyAlignment="1">
      <alignment horizontal="center" vertical="center"/>
    </xf>
    <xf numFmtId="0" fontId="61" fillId="0" borderId="7" xfId="0" applyFont="1" applyBorder="1" applyAlignment="1">
      <alignment vertical="center" wrapText="1"/>
    </xf>
    <xf numFmtId="0" fontId="72" fillId="0" borderId="7" xfId="0" applyFont="1" applyBorder="1" applyAlignment="1">
      <alignment vertical="center"/>
    </xf>
    <xf numFmtId="0" fontId="72" fillId="0" borderId="11" xfId="0" applyFont="1" applyBorder="1" applyAlignment="1">
      <alignment vertical="center"/>
    </xf>
    <xf numFmtId="0" fontId="13" fillId="0" borderId="15" xfId="0" applyFont="1" applyBorder="1" applyAlignment="1">
      <alignment horizontal="left"/>
    </xf>
    <xf numFmtId="0" fontId="15" fillId="0" borderId="0" xfId="0" applyFont="1" applyAlignment="1">
      <alignment horizontal="left"/>
    </xf>
    <xf numFmtId="0" fontId="15" fillId="0" borderId="5" xfId="0" applyFont="1" applyBorder="1" applyAlignment="1">
      <alignment horizontal="left"/>
    </xf>
    <xf numFmtId="0" fontId="13" fillId="0" borderId="5" xfId="0" applyFont="1" applyBorder="1" applyAlignment="1">
      <alignment horizontal="left"/>
    </xf>
    <xf numFmtId="0" fontId="15" fillId="0" borderId="5" xfId="0" applyFont="1" applyBorder="1" applyAlignment="1">
      <alignment horizontal="center" vertical="center"/>
    </xf>
    <xf numFmtId="0" fontId="85" fillId="0" borderId="1" xfId="0" applyFont="1" applyBorder="1"/>
    <xf numFmtId="0" fontId="86" fillId="0" borderId="1" xfId="0" applyFont="1" applyBorder="1"/>
    <xf numFmtId="0" fontId="0" fillId="0" borderId="0" xfId="0" applyAlignment="1">
      <alignment vertical="center"/>
    </xf>
    <xf numFmtId="0" fontId="41" fillId="0" borderId="0" xfId="0" applyFont="1" applyAlignment="1">
      <alignment vertical="center"/>
    </xf>
    <xf numFmtId="0" fontId="5" fillId="6" borderId="12" xfId="0" applyFont="1" applyFill="1" applyBorder="1" applyAlignment="1">
      <alignment horizontal="center" vertical="center"/>
    </xf>
    <xf numFmtId="0" fontId="5" fillId="6" borderId="10" xfId="0" applyFont="1" applyFill="1" applyBorder="1" applyAlignment="1">
      <alignment horizontal="center" vertical="center"/>
    </xf>
    <xf numFmtId="14" fontId="28" fillId="0" borderId="0" xfId="0" applyNumberFormat="1" applyFont="1" applyAlignment="1">
      <alignment horizontal="center" vertical="center"/>
    </xf>
    <xf numFmtId="14" fontId="28" fillId="8" borderId="0" xfId="0" applyNumberFormat="1" applyFont="1" applyFill="1" applyAlignment="1">
      <alignment horizontal="center" vertical="center"/>
    </xf>
    <xf numFmtId="0" fontId="41" fillId="8" borderId="0" xfId="0" applyFont="1" applyFill="1" applyAlignment="1">
      <alignment vertical="center"/>
    </xf>
    <xf numFmtId="0" fontId="12" fillId="6" borderId="12" xfId="0" applyFont="1" applyFill="1" applyBorder="1" applyAlignment="1">
      <alignment horizontal="right" vertical="center"/>
    </xf>
    <xf numFmtId="0" fontId="12" fillId="6" borderId="0" xfId="0" applyFont="1" applyFill="1" applyAlignment="1">
      <alignment horizontal="right" vertical="center"/>
    </xf>
    <xf numFmtId="0" fontId="3" fillId="0" borderId="0" xfId="0" applyFont="1" applyAlignment="1">
      <alignment horizontal="right" vertical="center"/>
    </xf>
    <xf numFmtId="0" fontId="2" fillId="0" borderId="0" xfId="0" applyFont="1" applyAlignment="1">
      <alignment vertical="center"/>
    </xf>
    <xf numFmtId="0" fontId="13" fillId="0" borderId="0" xfId="0" applyFont="1" applyAlignment="1">
      <alignment vertical="center"/>
    </xf>
    <xf numFmtId="0" fontId="15" fillId="0" borderId="0" xfId="0" applyFont="1" applyAlignment="1">
      <alignment horizontal="center" vertical="center"/>
    </xf>
    <xf numFmtId="0" fontId="12" fillId="6" borderId="2" xfId="0" applyFont="1" applyFill="1" applyBorder="1" applyAlignment="1">
      <alignment horizontal="center" vertical="center" wrapText="1"/>
    </xf>
    <xf numFmtId="0" fontId="5" fillId="6" borderId="6" xfId="0" applyFont="1" applyFill="1" applyBorder="1" applyAlignment="1">
      <alignment horizontal="center" vertical="center"/>
    </xf>
    <xf numFmtId="0" fontId="12" fillId="6" borderId="1" xfId="0" applyFont="1" applyFill="1" applyBorder="1" applyAlignment="1">
      <alignment horizontal="center" vertical="center"/>
    </xf>
    <xf numFmtId="0" fontId="3" fillId="6" borderId="14" xfId="0" applyFont="1" applyFill="1" applyBorder="1" applyAlignment="1">
      <alignment horizontal="center" vertical="center"/>
    </xf>
    <xf numFmtId="0" fontId="74" fillId="0" borderId="6" xfId="0" applyFont="1" applyBorder="1" applyAlignment="1">
      <alignment vertical="center" wrapText="1"/>
    </xf>
    <xf numFmtId="0" fontId="12" fillId="6" borderId="2" xfId="0" applyFont="1" applyFill="1" applyBorder="1" applyAlignment="1">
      <alignment horizontal="center" vertical="center"/>
    </xf>
    <xf numFmtId="0" fontId="12" fillId="6" borderId="4" xfId="0" applyFont="1" applyFill="1" applyBorder="1" applyAlignment="1">
      <alignment horizontal="center" vertical="center"/>
    </xf>
    <xf numFmtId="0" fontId="13" fillId="0" borderId="15" xfId="0" applyFont="1" applyBorder="1" applyAlignment="1">
      <alignment horizontal="center" vertical="center"/>
    </xf>
    <xf numFmtId="0" fontId="12" fillId="6" borderId="10" xfId="0" applyFont="1" applyFill="1" applyBorder="1" applyAlignment="1">
      <alignment horizontal="center" vertical="center"/>
    </xf>
    <xf numFmtId="0" fontId="61" fillId="0" borderId="5" xfId="0" applyFont="1" applyBorder="1" applyAlignment="1">
      <alignment vertical="center" wrapText="1"/>
    </xf>
    <xf numFmtId="0" fontId="72" fillId="0" borderId="5" xfId="0" applyFont="1" applyBorder="1" applyAlignment="1">
      <alignment vertical="center"/>
    </xf>
    <xf numFmtId="0" fontId="72" fillId="0" borderId="13" xfId="0" applyFont="1" applyBorder="1" applyAlignment="1">
      <alignment vertical="center"/>
    </xf>
    <xf numFmtId="0" fontId="12" fillId="6" borderId="12" xfId="0" applyFont="1" applyFill="1" applyBorder="1" applyAlignment="1">
      <alignment horizontal="center" vertical="center"/>
    </xf>
    <xf numFmtId="0" fontId="0" fillId="6" borderId="0" xfId="0" applyFill="1" applyAlignment="1">
      <alignment vertical="center"/>
    </xf>
    <xf numFmtId="0" fontId="28" fillId="0" borderId="0" xfId="0" applyFont="1" applyAlignment="1">
      <alignment vertical="center"/>
    </xf>
    <xf numFmtId="0" fontId="81" fillId="0" borderId="0" xfId="0" applyFont="1" applyAlignment="1">
      <alignment vertical="center"/>
    </xf>
    <xf numFmtId="0" fontId="72" fillId="6" borderId="0" xfId="0" applyFont="1" applyFill="1" applyAlignment="1">
      <alignment horizontal="center" vertical="center"/>
    </xf>
    <xf numFmtId="0" fontId="35" fillId="0" borderId="0" xfId="0" applyFont="1" applyAlignment="1">
      <alignment vertical="center"/>
    </xf>
    <xf numFmtId="0" fontId="13" fillId="0" borderId="0" xfId="0" applyFont="1"/>
    <xf numFmtId="0" fontId="0" fillId="0" borderId="0" xfId="0"/>
    <xf numFmtId="0" fontId="12" fillId="6" borderId="6" xfId="0" applyFont="1" applyFill="1" applyBorder="1" applyAlignment="1">
      <alignment horizontal="left" vertical="center"/>
    </xf>
    <xf numFmtId="0" fontId="26" fillId="0" borderId="15" xfId="0" applyFont="1" applyBorder="1" applyAlignment="1">
      <alignment vertical="center"/>
    </xf>
    <xf numFmtId="0" fontId="12" fillId="6" borderId="0" xfId="0" applyFont="1" applyFill="1" applyAlignment="1">
      <alignment horizontal="left" vertical="center"/>
    </xf>
    <xf numFmtId="0" fontId="26" fillId="0" borderId="0" xfId="0" applyFont="1" applyAlignment="1">
      <alignment vertical="center"/>
    </xf>
    <xf numFmtId="0" fontId="60" fillId="0" borderId="32" xfId="0" applyFont="1" applyBorder="1" applyAlignment="1">
      <alignment vertical="center"/>
    </xf>
    <xf numFmtId="0" fontId="0" fillId="0" borderId="33" xfId="0" applyBorder="1" applyAlignment="1">
      <alignment vertical="center"/>
    </xf>
    <xf numFmtId="0" fontId="11" fillId="6" borderId="8" xfId="0" applyFont="1" applyFill="1" applyBorder="1" applyAlignment="1">
      <alignment vertical="center"/>
    </xf>
    <xf numFmtId="0" fontId="12" fillId="6" borderId="15" xfId="0" applyFont="1" applyFill="1" applyBorder="1" applyAlignment="1">
      <alignment vertical="center"/>
    </xf>
    <xf numFmtId="0" fontId="7" fillId="6" borderId="15" xfId="0" applyFont="1" applyFill="1" applyBorder="1" applyAlignment="1">
      <alignment horizontal="center" vertical="center"/>
    </xf>
    <xf numFmtId="0" fontId="0" fillId="0" borderId="9" xfId="0" applyBorder="1" applyAlignment="1">
      <alignment horizontal="center" vertical="center"/>
    </xf>
    <xf numFmtId="0" fontId="33" fillId="0" borderId="0" xfId="0" applyFont="1" applyAlignment="1">
      <alignment vertical="center"/>
    </xf>
    <xf numFmtId="0" fontId="0" fillId="0" borderId="0" xfId="0" applyAlignment="1">
      <alignment vertical="center"/>
    </xf>
    <xf numFmtId="0" fontId="12" fillId="6" borderId="8" xfId="0" applyFont="1" applyFill="1" applyBorder="1" applyAlignment="1">
      <alignment vertical="center"/>
    </xf>
    <xf numFmtId="0" fontId="3" fillId="0" borderId="15" xfId="0" applyFont="1" applyBorder="1" applyAlignment="1">
      <alignment vertical="center"/>
    </xf>
    <xf numFmtId="0" fontId="35" fillId="0" borderId="6" xfId="0" applyFont="1" applyBorder="1" applyAlignment="1">
      <alignment horizontal="left" vertical="center"/>
    </xf>
    <xf numFmtId="0" fontId="36" fillId="0" borderId="14" xfId="0" applyFont="1" applyBorder="1" applyAlignment="1">
      <alignment horizontal="left" vertical="center"/>
    </xf>
    <xf numFmtId="0" fontId="12" fillId="6" borderId="6" xfId="0" applyFont="1" applyFill="1" applyBorder="1" applyAlignment="1">
      <alignment horizontal="center" vertical="center"/>
    </xf>
    <xf numFmtId="0" fontId="0" fillId="6" borderId="14" xfId="0" applyFill="1" applyBorder="1" applyAlignment="1">
      <alignment horizontal="center" vertical="center"/>
    </xf>
    <xf numFmtId="0" fontId="13" fillId="0" borderId="6" xfId="0" applyFont="1" applyBorder="1" applyAlignment="1">
      <alignment horizontal="left" vertical="center"/>
    </xf>
    <xf numFmtId="0" fontId="0" fillId="0" borderId="14" xfId="0" applyBorder="1" applyAlignment="1">
      <alignment horizontal="left" vertical="center"/>
    </xf>
    <xf numFmtId="0" fontId="39" fillId="6" borderId="10" xfId="0" applyFont="1" applyFill="1" applyBorder="1" applyAlignment="1">
      <alignment horizontal="left" vertical="center"/>
    </xf>
    <xf numFmtId="0" fontId="39" fillId="6" borderId="5" xfId="0" applyFont="1" applyFill="1" applyBorder="1" applyAlignment="1">
      <alignment horizontal="left" vertical="center"/>
    </xf>
    <xf numFmtId="0" fontId="40" fillId="6" borderId="5" xfId="0" applyFont="1" applyFill="1" applyBorder="1" applyAlignment="1">
      <alignment vertical="center"/>
    </xf>
    <xf numFmtId="0" fontId="40" fillId="6" borderId="11" xfId="0" applyFont="1" applyFill="1" applyBorder="1" applyAlignment="1">
      <alignment vertical="center"/>
    </xf>
    <xf numFmtId="0" fontId="41" fillId="0" borderId="0" xfId="0" applyFont="1" applyAlignment="1">
      <alignment vertical="center"/>
    </xf>
    <xf numFmtId="0" fontId="39" fillId="6" borderId="6" xfId="0" applyFont="1" applyFill="1" applyBorder="1" applyAlignment="1">
      <alignment horizontal="left" vertical="center"/>
    </xf>
    <xf numFmtId="0" fontId="39" fillId="6" borderId="7" xfId="0" applyFont="1" applyFill="1" applyBorder="1" applyAlignment="1">
      <alignment horizontal="left" vertical="center"/>
    </xf>
    <xf numFmtId="0" fontId="40" fillId="6" borderId="7" xfId="0" applyFont="1" applyFill="1" applyBorder="1" applyAlignment="1">
      <alignment vertical="center"/>
    </xf>
    <xf numFmtId="0" fontId="40" fillId="6" borderId="14" xfId="0" applyFont="1" applyFill="1" applyBorder="1" applyAlignment="1">
      <alignment vertical="center"/>
    </xf>
    <xf numFmtId="0" fontId="39" fillId="6" borderId="6" xfId="0" applyFont="1" applyFill="1" applyBorder="1" applyAlignment="1">
      <alignment vertical="center"/>
    </xf>
    <xf numFmtId="0" fontId="40" fillId="0" borderId="7" xfId="0" applyFont="1" applyBorder="1" applyAlignment="1">
      <alignment vertical="center"/>
    </xf>
    <xf numFmtId="0" fontId="40" fillId="0" borderId="14" xfId="0" applyFont="1" applyBorder="1" applyAlignment="1">
      <alignment vertical="center"/>
    </xf>
    <xf numFmtId="0" fontId="5" fillId="6" borderId="2" xfId="0" applyFont="1"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4" fillId="3" borderId="2" xfId="0" applyFont="1" applyFill="1" applyBorder="1" applyAlignment="1">
      <alignment horizontal="center" vertical="center" textRotation="90"/>
    </xf>
    <xf numFmtId="0" fontId="51" fillId="0" borderId="3" xfId="0" applyFont="1" applyBorder="1" applyAlignment="1">
      <alignment horizontal="center" vertical="center" textRotation="90"/>
    </xf>
    <xf numFmtId="0" fontId="51" fillId="0" borderId="4" xfId="0" applyFont="1" applyBorder="1" applyAlignment="1">
      <alignment horizontal="center" vertical="center" textRotation="90"/>
    </xf>
    <xf numFmtId="16" fontId="5" fillId="6" borderId="2" xfId="0" quotePrefix="1" applyNumberFormat="1" applyFont="1" applyFill="1" applyBorder="1" applyAlignment="1">
      <alignment horizontal="center" vertical="center"/>
    </xf>
    <xf numFmtId="0" fontId="6" fillId="3" borderId="2" xfId="0" applyFont="1" applyFill="1" applyBorder="1" applyAlignment="1">
      <alignment vertical="center" wrapText="1"/>
    </xf>
    <xf numFmtId="0" fontId="50" fillId="3" borderId="3" xfId="0" applyFont="1" applyFill="1" applyBorder="1" applyAlignment="1">
      <alignment vertical="center" wrapText="1"/>
    </xf>
    <xf numFmtId="0" fontId="6" fillId="3" borderId="2" xfId="0" applyFont="1" applyFill="1" applyBorder="1" applyAlignment="1">
      <alignment vertical="center"/>
    </xf>
    <xf numFmtId="0" fontId="50" fillId="3" borderId="3" xfId="0" applyFont="1" applyFill="1" applyBorder="1" applyAlignment="1">
      <alignment vertical="center"/>
    </xf>
    <xf numFmtId="0" fontId="50" fillId="3" borderId="4" xfId="0" applyFont="1" applyFill="1" applyBorder="1" applyAlignment="1">
      <alignment vertical="center" wrapText="1"/>
    </xf>
    <xf numFmtId="0" fontId="4" fillId="5" borderId="2" xfId="0" applyFont="1" applyFill="1" applyBorder="1" applyAlignment="1">
      <alignment horizontal="center" vertical="center" textRotation="90"/>
    </xf>
    <xf numFmtId="0" fontId="6" fillId="5" borderId="2" xfId="0" applyFont="1" applyFill="1" applyBorder="1" applyAlignment="1">
      <alignment vertical="center"/>
    </xf>
    <xf numFmtId="0" fontId="50" fillId="5" borderId="3" xfId="0" applyFont="1" applyFill="1" applyBorder="1" applyAlignment="1">
      <alignment vertical="center"/>
    </xf>
    <xf numFmtId="0" fontId="6" fillId="5" borderId="2" xfId="0" applyFont="1" applyFill="1" applyBorder="1" applyAlignment="1">
      <alignment vertical="center" wrapText="1"/>
    </xf>
    <xf numFmtId="0" fontId="50" fillId="5" borderId="3" xfId="0" applyFont="1" applyFill="1" applyBorder="1" applyAlignment="1">
      <alignment vertical="center" wrapText="1"/>
    </xf>
    <xf numFmtId="16" fontId="5" fillId="6" borderId="3" xfId="0" quotePrefix="1" applyNumberFormat="1" applyFont="1" applyFill="1" applyBorder="1" applyAlignment="1">
      <alignment horizontal="center" vertical="center"/>
    </xf>
    <xf numFmtId="0" fontId="6" fillId="5" borderId="3" xfId="0" applyFont="1" applyFill="1" applyBorder="1" applyAlignment="1">
      <alignment vertical="center" wrapText="1"/>
    </xf>
    <xf numFmtId="0" fontId="4" fillId="2" borderId="2" xfId="0" applyFont="1" applyFill="1" applyBorder="1" applyAlignment="1">
      <alignment horizontal="center" vertical="center" textRotation="90"/>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6" fillId="2" borderId="2" xfId="0" applyFont="1" applyFill="1" applyBorder="1" applyAlignment="1">
      <alignment vertical="center"/>
    </xf>
    <xf numFmtId="0" fontId="6" fillId="2" borderId="3" xfId="0" applyFont="1" applyFill="1" applyBorder="1" applyAlignment="1">
      <alignment vertical="center"/>
    </xf>
    <xf numFmtId="0" fontId="50" fillId="2" borderId="3" xfId="0" applyFont="1" applyFill="1" applyBorder="1" applyAlignment="1">
      <alignment vertical="center" wrapText="1"/>
    </xf>
    <xf numFmtId="0" fontId="4" fillId="4" borderId="2" xfId="0" applyFont="1" applyFill="1" applyBorder="1" applyAlignment="1">
      <alignment horizontal="center" vertical="center" textRotation="90"/>
    </xf>
    <xf numFmtId="0" fontId="51" fillId="4" borderId="3" xfId="0" applyFont="1" applyFill="1" applyBorder="1" applyAlignment="1">
      <alignment horizontal="center" vertical="center" textRotation="90"/>
    </xf>
    <xf numFmtId="0" fontId="6" fillId="4" borderId="2" xfId="0" applyFont="1" applyFill="1" applyBorder="1" applyAlignment="1">
      <alignment vertical="center"/>
    </xf>
    <xf numFmtId="0" fontId="50" fillId="4" borderId="3" xfId="0" applyFont="1" applyFill="1" applyBorder="1" applyAlignment="1">
      <alignment vertical="center"/>
    </xf>
    <xf numFmtId="0" fontId="5" fillId="6" borderId="12" xfId="0" applyFont="1" applyFill="1" applyBorder="1" applyAlignment="1">
      <alignment horizontal="center" vertical="center"/>
    </xf>
    <xf numFmtId="0" fontId="5" fillId="6" borderId="13"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11" xfId="0" applyFont="1" applyFill="1" applyBorder="1" applyAlignment="1">
      <alignment horizontal="center" vertical="center"/>
    </xf>
    <xf numFmtId="0" fontId="3" fillId="6" borderId="10" xfId="0" applyFont="1" applyFill="1" applyBorder="1" applyAlignment="1">
      <alignment horizontal="center" vertical="center"/>
    </xf>
    <xf numFmtId="0" fontId="0" fillId="6" borderId="5" xfId="0" applyFill="1" applyBorder="1" applyAlignment="1">
      <alignment horizontal="center" vertical="center"/>
    </xf>
    <xf numFmtId="0" fontId="0" fillId="6" borderId="11" xfId="0" applyFill="1" applyBorder="1" applyAlignment="1">
      <alignment horizontal="center" vertical="center"/>
    </xf>
    <xf numFmtId="14" fontId="28" fillId="0" borderId="0" xfId="0" applyNumberFormat="1" applyFont="1" applyAlignment="1">
      <alignment horizontal="center" vertical="center"/>
    </xf>
    <xf numFmtId="14" fontId="48" fillId="0" borderId="0" xfId="0" applyNumberFormat="1" applyFont="1" applyAlignment="1">
      <alignment horizontal="center" vertical="center"/>
    </xf>
    <xf numFmtId="0" fontId="5" fillId="6" borderId="2" xfId="0" applyFont="1" applyFill="1" applyBorder="1" applyAlignment="1">
      <alignment horizontal="center" vertical="center" wrapText="1"/>
    </xf>
    <xf numFmtId="0" fontId="0" fillId="0" borderId="4" xfId="0" applyBorder="1" applyAlignment="1">
      <alignment horizontal="center" vertical="center" wrapText="1"/>
    </xf>
    <xf numFmtId="0" fontId="12" fillId="6" borderId="6" xfId="0" applyFont="1" applyFill="1" applyBorder="1" applyAlignment="1">
      <alignment vertical="center"/>
    </xf>
    <xf numFmtId="0" fontId="12" fillId="6" borderId="7" xfId="0" applyFont="1" applyFill="1" applyBorder="1" applyAlignment="1">
      <alignment vertical="center"/>
    </xf>
    <xf numFmtId="0" fontId="12" fillId="6" borderId="14" xfId="0" applyFont="1" applyFill="1" applyBorder="1" applyAlignment="1">
      <alignment vertical="center"/>
    </xf>
    <xf numFmtId="14" fontId="28" fillId="8" borderId="0" xfId="0" applyNumberFormat="1" applyFont="1" applyFill="1" applyAlignment="1">
      <alignment horizontal="center" vertical="center"/>
    </xf>
    <xf numFmtId="0" fontId="0" fillId="0" borderId="0" xfId="0" applyAlignment="1">
      <alignment horizontal="center" vertical="center"/>
    </xf>
    <xf numFmtId="0" fontId="41" fillId="8" borderId="0" xfId="0" applyFont="1" applyFill="1" applyAlignment="1">
      <alignment vertical="center"/>
    </xf>
    <xf numFmtId="0" fontId="5" fillId="6" borderId="4" xfId="0" applyFont="1" applyFill="1" applyBorder="1" applyAlignment="1">
      <alignment horizontal="center" vertical="center" wrapText="1"/>
    </xf>
    <xf numFmtId="0" fontId="4"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14" xfId="0" applyFont="1" applyFill="1" applyBorder="1" applyAlignment="1">
      <alignment horizontal="center" vertical="center"/>
    </xf>
    <xf numFmtId="0" fontId="0" fillId="0" borderId="4" xfId="0" applyBorder="1" applyAlignment="1">
      <alignment horizontal="center" vertical="center"/>
    </xf>
    <xf numFmtId="0" fontId="28" fillId="8" borderId="6" xfId="0" applyFont="1" applyFill="1" applyBorder="1" applyAlignment="1">
      <alignment vertical="center"/>
    </xf>
    <xf numFmtId="0" fontId="0" fillId="0" borderId="14" xfId="0" applyBorder="1" applyAlignment="1">
      <alignment vertical="center"/>
    </xf>
    <xf numFmtId="0" fontId="12" fillId="6" borderId="12" xfId="0" applyFont="1" applyFill="1" applyBorder="1" applyAlignment="1">
      <alignment horizontal="right" vertical="center"/>
    </xf>
    <xf numFmtId="0" fontId="0" fillId="0" borderId="0" xfId="0" applyAlignment="1">
      <alignment horizontal="right" vertical="center"/>
    </xf>
    <xf numFmtId="0" fontId="12" fillId="6" borderId="0" xfId="0" applyFont="1" applyFill="1" applyAlignment="1">
      <alignment horizontal="right" vertical="center"/>
    </xf>
    <xf numFmtId="0" fontId="3" fillId="0" borderId="0" xfId="0" applyFont="1" applyAlignment="1">
      <alignment horizontal="right" vertical="center"/>
    </xf>
    <xf numFmtId="0" fontId="11" fillId="9" borderId="6" xfId="0" applyFont="1" applyFill="1" applyBorder="1" applyAlignment="1">
      <alignment horizontal="left" vertical="center"/>
    </xf>
    <xf numFmtId="0" fontId="2" fillId="9" borderId="7" xfId="0" applyFont="1" applyFill="1" applyBorder="1" applyAlignment="1">
      <alignment vertical="center"/>
    </xf>
    <xf numFmtId="0" fontId="57" fillId="9" borderId="14" xfId="0" applyFont="1" applyFill="1" applyBorder="1" applyAlignment="1">
      <alignment vertical="center"/>
    </xf>
    <xf numFmtId="0" fontId="4" fillId="0" borderId="14" xfId="0" applyFont="1" applyBorder="1" applyAlignment="1">
      <alignment vertical="center"/>
    </xf>
    <xf numFmtId="0" fontId="28" fillId="8" borderId="14" xfId="0" applyFont="1" applyFill="1" applyBorder="1" applyAlignment="1">
      <alignment vertical="center"/>
    </xf>
    <xf numFmtId="0" fontId="16" fillId="9" borderId="10" xfId="0" applyFont="1" applyFill="1" applyBorder="1" applyAlignment="1">
      <alignment horizontal="center" vertical="center"/>
    </xf>
    <xf numFmtId="0" fontId="15" fillId="9" borderId="5" xfId="0" applyFont="1" applyFill="1" applyBorder="1" applyAlignment="1">
      <alignment horizontal="center" vertical="center"/>
    </xf>
    <xf numFmtId="0" fontId="15" fillId="9" borderId="11" xfId="0" applyFont="1" applyFill="1" applyBorder="1" applyAlignment="1">
      <alignment horizontal="center" vertical="center"/>
    </xf>
    <xf numFmtId="1" fontId="53" fillId="10" borderId="6" xfId="0" quotePrefix="1" applyNumberFormat="1" applyFont="1" applyFill="1" applyBorder="1" applyAlignment="1">
      <alignment horizontal="right" vertical="center"/>
    </xf>
    <xf numFmtId="0" fontId="1" fillId="10" borderId="7" xfId="0" applyFont="1" applyFill="1" applyBorder="1" applyAlignment="1">
      <alignment horizontal="right" vertical="center"/>
    </xf>
    <xf numFmtId="0" fontId="1" fillId="10" borderId="14" xfId="0" applyFont="1" applyFill="1" applyBorder="1" applyAlignment="1">
      <alignment horizontal="right" vertical="center"/>
    </xf>
    <xf numFmtId="0" fontId="5" fillId="6" borderId="6" xfId="0" applyFont="1" applyFill="1" applyBorder="1" applyAlignment="1">
      <alignment vertical="center"/>
    </xf>
    <xf numFmtId="0" fontId="4" fillId="0" borderId="7" xfId="0" applyFont="1" applyBorder="1" applyAlignment="1">
      <alignment vertical="center"/>
    </xf>
    <xf numFmtId="0" fontId="13" fillId="0" borderId="7" xfId="0" applyFont="1" applyBorder="1" applyAlignment="1">
      <alignment vertical="center"/>
    </xf>
    <xf numFmtId="0" fontId="13" fillId="0" borderId="14" xfId="0" applyFont="1" applyBorder="1" applyAlignment="1">
      <alignment vertical="center"/>
    </xf>
    <xf numFmtId="0" fontId="11" fillId="10" borderId="6" xfId="0" applyFont="1" applyFill="1" applyBorder="1" applyAlignment="1">
      <alignment horizontal="left" vertical="center"/>
    </xf>
    <xf numFmtId="0" fontId="2" fillId="10" borderId="7" xfId="0" applyFont="1" applyFill="1" applyBorder="1" applyAlignment="1">
      <alignment vertical="center"/>
    </xf>
    <xf numFmtId="0" fontId="57" fillId="10" borderId="14" xfId="0" applyFont="1" applyFill="1" applyBorder="1" applyAlignment="1">
      <alignment vertical="center"/>
    </xf>
    <xf numFmtId="0" fontId="12" fillId="10" borderId="6" xfId="0" applyFont="1" applyFill="1" applyBorder="1" applyAlignment="1">
      <alignment horizontal="center" vertical="center"/>
    </xf>
    <xf numFmtId="0" fontId="13" fillId="10" borderId="14" xfId="0" applyFont="1" applyFill="1" applyBorder="1" applyAlignment="1">
      <alignment horizontal="center" vertical="center"/>
    </xf>
    <xf numFmtId="0" fontId="12" fillId="9" borderId="6" xfId="0" applyFont="1" applyFill="1" applyBorder="1" applyAlignment="1">
      <alignment horizontal="center" vertical="center"/>
    </xf>
    <xf numFmtId="0" fontId="13" fillId="9" borderId="14" xfId="0" applyFont="1" applyFill="1" applyBorder="1" applyAlignment="1">
      <alignment horizontal="center" vertical="center"/>
    </xf>
    <xf numFmtId="0" fontId="16" fillId="10" borderId="6" xfId="0" applyFont="1" applyFill="1" applyBorder="1" applyAlignment="1">
      <alignment horizontal="center" vertical="center"/>
    </xf>
    <xf numFmtId="0" fontId="12" fillId="10" borderId="7" xfId="0" applyFont="1" applyFill="1" applyBorder="1" applyAlignment="1">
      <alignment horizontal="center" vertical="center"/>
    </xf>
    <xf numFmtId="0" fontId="12" fillId="10" borderId="14" xfId="0" applyFont="1" applyFill="1" applyBorder="1" applyAlignment="1">
      <alignment horizontal="center" vertical="center"/>
    </xf>
    <xf numFmtId="1" fontId="53" fillId="9" borderId="6" xfId="0" quotePrefix="1" applyNumberFormat="1" applyFont="1" applyFill="1" applyBorder="1" applyAlignment="1">
      <alignment horizontal="right" vertical="center"/>
    </xf>
    <xf numFmtId="0" fontId="1" fillId="9" borderId="7" xfId="0" applyFont="1" applyFill="1" applyBorder="1" applyAlignment="1">
      <alignment horizontal="right" vertical="center"/>
    </xf>
    <xf numFmtId="0" fontId="1" fillId="9" borderId="14" xfId="0" applyFont="1" applyFill="1" applyBorder="1" applyAlignment="1">
      <alignment horizontal="right" vertical="center"/>
    </xf>
    <xf numFmtId="0" fontId="16" fillId="9" borderId="6" xfId="0" applyFont="1" applyFill="1" applyBorder="1" applyAlignment="1">
      <alignment horizontal="center" vertical="center"/>
    </xf>
    <xf numFmtId="0" fontId="12" fillId="9" borderId="7" xfId="0" applyFont="1" applyFill="1" applyBorder="1" applyAlignment="1">
      <alignment horizontal="center" vertical="center"/>
    </xf>
    <xf numFmtId="0" fontId="12" fillId="9" borderId="14" xfId="0" applyFont="1" applyFill="1" applyBorder="1" applyAlignment="1">
      <alignment horizontal="center" vertical="center"/>
    </xf>
    <xf numFmtId="0" fontId="55" fillId="0" borderId="0" xfId="0" applyFont="1" applyAlignment="1">
      <alignment horizontal="left" vertical="center"/>
    </xf>
    <xf numFmtId="0" fontId="55"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center"/>
    </xf>
    <xf numFmtId="0" fontId="16" fillId="10" borderId="10" xfId="0" applyFont="1" applyFill="1" applyBorder="1" applyAlignment="1">
      <alignment horizontal="center" vertical="center"/>
    </xf>
    <xf numFmtId="0" fontId="15" fillId="10" borderId="5" xfId="0" applyFont="1" applyFill="1" applyBorder="1" applyAlignment="1">
      <alignment horizontal="center" vertical="center"/>
    </xf>
    <xf numFmtId="0" fontId="15" fillId="10" borderId="11" xfId="0" applyFont="1" applyFill="1" applyBorder="1" applyAlignment="1">
      <alignment horizontal="center" vertical="center"/>
    </xf>
    <xf numFmtId="0" fontId="56" fillId="0" borderId="0" xfId="0" applyFont="1" applyAlignment="1">
      <alignment horizontal="center" vertical="center"/>
    </xf>
    <xf numFmtId="0" fontId="13" fillId="0" borderId="2" xfId="0" applyFont="1" applyBorder="1" applyAlignment="1">
      <alignment horizontal="center"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4" xfId="0" applyFont="1" applyBorder="1" applyAlignment="1">
      <alignment horizontal="center" vertical="center"/>
    </xf>
    <xf numFmtId="0" fontId="15" fillId="0" borderId="0" xfId="0" applyFont="1" applyAlignment="1">
      <alignment horizontal="center" vertical="center"/>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164" fontId="13" fillId="0" borderId="2" xfId="0" applyNumberFormat="1" applyFont="1" applyBorder="1" applyAlignment="1">
      <alignment horizontal="center" vertical="center" wrapText="1"/>
    </xf>
    <xf numFmtId="164" fontId="0" fillId="0" borderId="4" xfId="0" applyNumberFormat="1" applyBorder="1" applyAlignment="1">
      <alignment horizontal="center" vertical="center" wrapText="1"/>
    </xf>
    <xf numFmtId="0" fontId="13" fillId="0" borderId="9"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0" xfId="0" applyFont="1" applyAlignment="1">
      <alignment vertical="center"/>
    </xf>
    <xf numFmtId="0" fontId="13" fillId="0" borderId="0" xfId="0" applyFont="1" applyAlignment="1">
      <alignment vertical="center"/>
    </xf>
    <xf numFmtId="0" fontId="2" fillId="0" borderId="0" xfId="0" applyFont="1" applyAlignment="1">
      <alignment horizontal="center" vertical="center" textRotation="90"/>
    </xf>
    <xf numFmtId="0" fontId="58" fillId="0" borderId="0" xfId="0" applyFont="1" applyAlignment="1">
      <alignment horizontal="left" vertical="center"/>
    </xf>
    <xf numFmtId="14" fontId="4" fillId="0" borderId="0" xfId="0" applyNumberFormat="1" applyFont="1" applyAlignment="1">
      <alignment horizontal="center" vertical="center"/>
    </xf>
    <xf numFmtId="0" fontId="51" fillId="0" borderId="0" xfId="0" applyFont="1" applyAlignment="1">
      <alignment horizontal="center" vertical="center"/>
    </xf>
    <xf numFmtId="0" fontId="5" fillId="6" borderId="3" xfId="0" applyFont="1" applyFill="1" applyBorder="1" applyAlignment="1">
      <alignment horizontal="center" vertical="center" wrapText="1"/>
    </xf>
    <xf numFmtId="0" fontId="5" fillId="6" borderId="8" xfId="0" applyFont="1" applyFill="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2" fillId="6" borderId="2" xfId="0" applyFont="1" applyFill="1" applyBorder="1" applyAlignment="1">
      <alignment horizontal="center" vertical="center" wrapText="1"/>
    </xf>
    <xf numFmtId="0" fontId="12" fillId="0" borderId="4" xfId="0" applyFont="1" applyBorder="1" applyAlignment="1">
      <alignment horizontal="center" vertical="center" wrapText="1"/>
    </xf>
    <xf numFmtId="0" fontId="28" fillId="0" borderId="6" xfId="0" applyFont="1" applyBorder="1" applyAlignment="1">
      <alignment vertical="center" wrapText="1"/>
    </xf>
    <xf numFmtId="0" fontId="0" fillId="0" borderId="7" xfId="0" applyBorder="1" applyAlignment="1">
      <alignment vertical="center"/>
    </xf>
    <xf numFmtId="0" fontId="5" fillId="6" borderId="6" xfId="0" applyFont="1" applyFill="1" applyBorder="1" applyAlignment="1">
      <alignment vertical="center" wrapText="1"/>
    </xf>
    <xf numFmtId="0" fontId="62" fillId="0" borderId="6" xfId="0" applyFont="1" applyBorder="1" applyAlignment="1">
      <alignment horizontal="left" vertical="center"/>
    </xf>
    <xf numFmtId="0" fontId="5" fillId="6" borderId="6" xfId="0" applyFont="1" applyFill="1"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55" fillId="8" borderId="0" xfId="0" applyFont="1" applyFill="1" applyAlignment="1">
      <alignment vertical="center"/>
    </xf>
    <xf numFmtId="0" fontId="65" fillId="8" borderId="0" xfId="0" applyFont="1" applyFill="1" applyAlignment="1">
      <alignment vertical="center"/>
    </xf>
    <xf numFmtId="0" fontId="66" fillId="8" borderId="0" xfId="0" applyFont="1" applyFill="1" applyAlignment="1">
      <alignment vertical="center"/>
    </xf>
    <xf numFmtId="0" fontId="53" fillId="6" borderId="6" xfId="0" applyFont="1" applyFill="1" applyBorder="1" applyAlignment="1">
      <alignment horizontal="left" vertical="center"/>
    </xf>
    <xf numFmtId="0" fontId="53" fillId="6" borderId="7" xfId="0" applyFont="1" applyFill="1" applyBorder="1" applyAlignment="1">
      <alignment horizontal="left" vertical="center"/>
    </xf>
    <xf numFmtId="0" fontId="64" fillId="0" borderId="7" xfId="0" applyFont="1" applyBorder="1" applyAlignment="1">
      <alignment vertical="center"/>
    </xf>
    <xf numFmtId="0" fontId="64" fillId="0" borderId="14" xfId="0" applyFont="1" applyBorder="1" applyAlignment="1">
      <alignment vertical="center"/>
    </xf>
    <xf numFmtId="0" fontId="69" fillId="0" borderId="6" xfId="0" applyFont="1" applyBorder="1" applyAlignment="1">
      <alignment vertical="center" wrapText="1"/>
    </xf>
    <xf numFmtId="0" fontId="48" fillId="0" borderId="14" xfId="0" applyFont="1" applyBorder="1" applyAlignment="1">
      <alignment vertical="center" wrapText="1"/>
    </xf>
    <xf numFmtId="0" fontId="69" fillId="0" borderId="1" xfId="0" applyFont="1" applyBorder="1" applyAlignment="1">
      <alignment horizontal="center" vertical="center" wrapText="1"/>
    </xf>
    <xf numFmtId="0" fontId="0" fillId="0" borderId="1" xfId="0" applyBorder="1" applyAlignment="1">
      <alignment horizontal="center" vertical="center"/>
    </xf>
    <xf numFmtId="0" fontId="48" fillId="0" borderId="7" xfId="0" applyFont="1" applyBorder="1" applyAlignment="1">
      <alignment vertical="center" wrapText="1"/>
    </xf>
    <xf numFmtId="0" fontId="0" fillId="0" borderId="14" xfId="0" applyBorder="1" applyAlignment="1">
      <alignment vertical="center" wrapText="1"/>
    </xf>
    <xf numFmtId="0" fontId="74" fillId="0" borderId="6" xfId="0" applyFont="1" applyBorder="1" applyAlignment="1">
      <alignment horizontal="left" vertical="center"/>
    </xf>
    <xf numFmtId="0" fontId="48" fillId="0" borderId="14" xfId="0" applyFont="1" applyBorder="1" applyAlignment="1">
      <alignment horizontal="left" vertical="center"/>
    </xf>
    <xf numFmtId="0" fontId="74" fillId="0" borderId="6" xfId="0" applyFont="1" applyBorder="1" applyAlignment="1">
      <alignment horizontal="left" vertical="center" wrapText="1"/>
    </xf>
    <xf numFmtId="0" fontId="48" fillId="0" borderId="7" xfId="0" applyFont="1" applyBorder="1" applyAlignment="1">
      <alignment horizontal="left" vertical="center"/>
    </xf>
    <xf numFmtId="0" fontId="48" fillId="0" borderId="1" xfId="0" applyFont="1" applyBorder="1" applyAlignment="1">
      <alignment vertical="center"/>
    </xf>
    <xf numFmtId="0" fontId="0" fillId="0" borderId="1" xfId="0" applyBorder="1" applyAlignment="1">
      <alignment vertical="center"/>
    </xf>
    <xf numFmtId="0" fontId="69" fillId="0" borderId="6" xfId="0" applyFont="1" applyBorder="1" applyAlignment="1">
      <alignment horizontal="center" vertical="center" wrapText="1"/>
    </xf>
    <xf numFmtId="0" fontId="0" fillId="0" borderId="14" xfId="0" applyBorder="1" applyAlignment="1">
      <alignment horizontal="center" vertical="center" wrapText="1"/>
    </xf>
    <xf numFmtId="0" fontId="12" fillId="6" borderId="6" xfId="0" applyFont="1" applyFill="1" applyBorder="1" applyAlignment="1">
      <alignment horizontal="center" vertical="center" wrapText="1"/>
    </xf>
    <xf numFmtId="0" fontId="3" fillId="6" borderId="7" xfId="0" applyFont="1" applyFill="1" applyBorder="1" applyAlignment="1">
      <alignment horizontal="center" vertical="center"/>
    </xf>
    <xf numFmtId="0" fontId="3" fillId="6" borderId="14" xfId="0" applyFont="1" applyFill="1" applyBorder="1" applyAlignment="1">
      <alignment horizontal="center" vertical="center"/>
    </xf>
    <xf numFmtId="0" fontId="74" fillId="0" borderId="6" xfId="0" applyFont="1" applyBorder="1" applyAlignment="1">
      <alignment horizontal="center" vertical="center"/>
    </xf>
    <xf numFmtId="0" fontId="48" fillId="0" borderId="14" xfId="0" applyFont="1" applyBorder="1" applyAlignment="1">
      <alignment horizontal="center" vertical="center"/>
    </xf>
    <xf numFmtId="0" fontId="5" fillId="6" borderId="6"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73" fillId="0" borderId="8" xfId="0" applyFont="1" applyBorder="1" applyAlignment="1">
      <alignment horizontal="left" vertical="center"/>
    </xf>
    <xf numFmtId="0" fontId="73" fillId="0" borderId="15" xfId="0" applyFont="1" applyBorder="1" applyAlignment="1">
      <alignment horizontal="left" vertical="center"/>
    </xf>
    <xf numFmtId="0" fontId="60" fillId="0" borderId="15" xfId="0" applyFont="1" applyBorder="1" applyAlignment="1">
      <alignment vertical="center"/>
    </xf>
    <xf numFmtId="0" fontId="60" fillId="0" borderId="9" xfId="0" applyFont="1" applyBorder="1" applyAlignment="1">
      <alignment vertical="center"/>
    </xf>
    <xf numFmtId="0" fontId="74" fillId="0" borderId="0" xfId="0" applyFont="1" applyAlignment="1">
      <alignment horizontal="left" vertical="center"/>
    </xf>
    <xf numFmtId="0" fontId="71" fillId="0" borderId="0" xfId="0" applyFont="1" applyAlignment="1">
      <alignment horizontal="left" vertical="center"/>
    </xf>
    <xf numFmtId="0" fontId="13" fillId="0" borderId="8" xfId="0" applyFont="1" applyBorder="1" applyAlignment="1">
      <alignment horizontal="left" vertical="top" wrapText="1"/>
    </xf>
    <xf numFmtId="0" fontId="0" fillId="0" borderId="15" xfId="0" applyBorder="1" applyAlignment="1">
      <alignment horizontal="left" vertical="top" wrapText="1"/>
    </xf>
    <xf numFmtId="0" fontId="0" fillId="0" borderId="9"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xf numFmtId="0" fontId="0" fillId="0" borderId="13"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horizontal="left" vertical="top" wrapText="1"/>
    </xf>
    <xf numFmtId="0" fontId="0" fillId="0" borderId="11" xfId="0" applyBorder="1" applyAlignment="1">
      <alignment horizontal="left" vertical="top" wrapText="1"/>
    </xf>
    <xf numFmtId="0" fontId="73" fillId="0" borderId="7" xfId="0" applyFont="1" applyBorder="1" applyAlignment="1">
      <alignment horizontal="left" vertical="center"/>
    </xf>
    <xf numFmtId="0" fontId="60" fillId="0" borderId="7" xfId="0" applyFont="1" applyBorder="1" applyAlignment="1">
      <alignment vertical="center"/>
    </xf>
    <xf numFmtId="0" fontId="12" fillId="0" borderId="3" xfId="0" applyFont="1" applyBorder="1" applyAlignment="1">
      <alignment horizontal="center" vertical="center" textRotation="90"/>
    </xf>
    <xf numFmtId="0" fontId="0" fillId="0" borderId="3" xfId="0" applyBorder="1" applyAlignment="1">
      <alignment vertical="center"/>
    </xf>
    <xf numFmtId="0" fontId="53" fillId="6" borderId="2" xfId="0" applyFont="1" applyFill="1" applyBorder="1" applyAlignment="1">
      <alignment horizontal="center" vertical="center" textRotation="90"/>
    </xf>
    <xf numFmtId="0" fontId="53" fillId="6" borderId="3" xfId="0" applyFont="1" applyFill="1" applyBorder="1" applyAlignment="1">
      <alignment horizontal="center" vertical="center" textRotation="90"/>
    </xf>
    <xf numFmtId="0" fontId="53" fillId="6" borderId="4" xfId="0" applyFont="1" applyFill="1" applyBorder="1" applyAlignment="1">
      <alignment horizontal="center" vertical="center" textRotation="90"/>
    </xf>
    <xf numFmtId="0" fontId="69" fillId="0" borderId="0" xfId="0" applyFont="1" applyAlignment="1">
      <alignment horizontal="left" vertical="center"/>
    </xf>
    <xf numFmtId="0" fontId="70" fillId="0" borderId="0" xfId="0" applyFont="1" applyAlignment="1">
      <alignment horizontal="left" vertical="center"/>
    </xf>
    <xf numFmtId="0" fontId="74" fillId="0" borderId="6" xfId="0" applyFont="1" applyBorder="1" applyAlignment="1">
      <alignment vertical="center" wrapText="1"/>
    </xf>
    <xf numFmtId="0" fontId="72" fillId="0" borderId="6" xfId="0" applyFont="1" applyBorder="1" applyAlignment="1">
      <alignment vertical="center"/>
    </xf>
    <xf numFmtId="0" fontId="69" fillId="0" borderId="6" xfId="0" applyFont="1" applyBorder="1" applyAlignment="1">
      <alignment horizontal="left" vertical="center" wrapText="1"/>
    </xf>
    <xf numFmtId="0" fontId="72" fillId="0" borderId="3" xfId="0" applyFont="1" applyBorder="1" applyAlignment="1">
      <alignment horizontal="center" vertical="center" textRotation="90"/>
    </xf>
    <xf numFmtId="0" fontId="13" fillId="0" borderId="3" xfId="0" applyFont="1" applyBorder="1" applyAlignment="1">
      <alignment horizontal="center" vertical="center" textRotation="90"/>
    </xf>
    <xf numFmtId="0" fontId="0" fillId="0" borderId="4" xfId="0" applyBorder="1" applyAlignment="1">
      <alignment vertical="center"/>
    </xf>
    <xf numFmtId="0" fontId="12" fillId="6" borderId="2" xfId="0" applyFont="1" applyFill="1" applyBorder="1" applyAlignment="1">
      <alignment horizontal="center" vertical="center" textRotation="90"/>
    </xf>
    <xf numFmtId="0" fontId="12" fillId="6" borderId="3" xfId="0" applyFont="1" applyFill="1" applyBorder="1" applyAlignment="1">
      <alignment horizontal="center" vertical="center" textRotation="90"/>
    </xf>
    <xf numFmtId="0" fontId="12" fillId="6" borderId="4" xfId="0" applyFont="1" applyFill="1" applyBorder="1" applyAlignment="1">
      <alignment horizontal="center" vertical="center" textRotation="90"/>
    </xf>
    <xf numFmtId="0" fontId="72" fillId="0" borderId="3" xfId="0" applyFont="1" applyBorder="1" applyAlignment="1">
      <alignment horizontal="center" vertical="center"/>
    </xf>
    <xf numFmtId="0" fontId="12" fillId="6" borderId="2" xfId="0" quotePrefix="1" applyFont="1" applyFill="1" applyBorder="1" applyAlignment="1">
      <alignment horizontal="center" vertical="center" textRotation="90"/>
    </xf>
    <xf numFmtId="0" fontId="12" fillId="6" borderId="1" xfId="0" applyFont="1" applyFill="1" applyBorder="1" applyAlignment="1">
      <alignment horizontal="center" vertical="center"/>
    </xf>
    <xf numFmtId="0" fontId="72" fillId="0" borderId="3" xfId="0" applyFont="1" applyBorder="1" applyAlignment="1">
      <alignment vertical="center"/>
    </xf>
    <xf numFmtId="0" fontId="3" fillId="6" borderId="1" xfId="0" applyFont="1" applyFill="1" applyBorder="1" applyAlignment="1">
      <alignment horizontal="center" vertical="center"/>
    </xf>
    <xf numFmtId="0" fontId="53" fillId="6" borderId="2" xfId="0" quotePrefix="1" applyFont="1" applyFill="1" applyBorder="1" applyAlignment="1">
      <alignment horizontal="center" vertical="center" textRotation="90"/>
    </xf>
    <xf numFmtId="0" fontId="64" fillId="6" borderId="3" xfId="0" applyFont="1" applyFill="1" applyBorder="1" applyAlignment="1">
      <alignment horizontal="center" vertical="center" textRotation="90"/>
    </xf>
    <xf numFmtId="0" fontId="28" fillId="0" borderId="0" xfId="0" applyFont="1" applyAlignment="1">
      <alignment horizontal="left" vertical="center"/>
    </xf>
    <xf numFmtId="0" fontId="60" fillId="0" borderId="37" xfId="0" applyFont="1" applyBorder="1" applyAlignment="1">
      <alignment horizontal="left" vertical="top"/>
    </xf>
    <xf numFmtId="0" fontId="0" fillId="0" borderId="15" xfId="0" applyBorder="1" applyAlignment="1">
      <alignment horizontal="left" vertical="top"/>
    </xf>
    <xf numFmtId="0" fontId="0" fillId="0" borderId="38" xfId="0" applyBorder="1" applyAlignment="1">
      <alignment horizontal="left" vertical="top"/>
    </xf>
    <xf numFmtId="0" fontId="0" fillId="0" borderId="32" xfId="0" applyBorder="1" applyAlignment="1">
      <alignment horizontal="left" vertical="top"/>
    </xf>
    <xf numFmtId="0" fontId="0" fillId="0" borderId="0" xfId="0" applyAlignment="1">
      <alignment horizontal="left" vertical="top"/>
    </xf>
    <xf numFmtId="0" fontId="0" fillId="0" borderId="33" xfId="0" applyBorder="1" applyAlignment="1">
      <alignment horizontal="left" vertical="top"/>
    </xf>
    <xf numFmtId="0" fontId="12" fillId="6" borderId="2" xfId="0" applyFont="1" applyFill="1" applyBorder="1" applyAlignment="1">
      <alignment horizontal="center" vertical="center"/>
    </xf>
    <xf numFmtId="0" fontId="12" fillId="6" borderId="4" xfId="0" applyFont="1" applyFill="1" applyBorder="1" applyAlignment="1">
      <alignment horizontal="center" vertical="center"/>
    </xf>
    <xf numFmtId="0" fontId="69" fillId="0" borderId="1" xfId="0" applyFont="1" applyBorder="1" applyAlignment="1">
      <alignment vertical="center"/>
    </xf>
    <xf numFmtId="0" fontId="51" fillId="0" borderId="1" xfId="0" applyFont="1" applyBorder="1" applyAlignment="1">
      <alignment vertical="center"/>
    </xf>
    <xf numFmtId="0" fontId="61" fillId="0" borderId="5" xfId="0" applyFont="1" applyBorder="1" applyAlignment="1">
      <alignment vertical="center" wrapText="1"/>
    </xf>
    <xf numFmtId="0" fontId="0" fillId="0" borderId="5" xfId="0" applyBorder="1" applyAlignment="1">
      <alignment vertical="center" wrapText="1"/>
    </xf>
    <xf numFmtId="0" fontId="0" fillId="0" borderId="13" xfId="0" applyBorder="1" applyAlignment="1">
      <alignment vertical="center"/>
    </xf>
    <xf numFmtId="0" fontId="69" fillId="0" borderId="6" xfId="0" applyFont="1" applyBorder="1" applyAlignment="1">
      <alignment vertical="center"/>
    </xf>
    <xf numFmtId="0" fontId="78" fillId="0" borderId="14" xfId="0" applyFont="1" applyBorder="1" applyAlignment="1">
      <alignment vertical="center"/>
    </xf>
    <xf numFmtId="0" fontId="0" fillId="0" borderId="12" xfId="0" applyBorder="1" applyAlignment="1">
      <alignment vertical="center"/>
    </xf>
    <xf numFmtId="0" fontId="12" fillId="6" borderId="8" xfId="0" applyFont="1" applyFill="1" applyBorder="1" applyAlignment="1">
      <alignment horizontal="center" vertical="center"/>
    </xf>
    <xf numFmtId="0" fontId="12" fillId="6" borderId="10" xfId="0" applyFont="1" applyFill="1" applyBorder="1" applyAlignment="1">
      <alignment horizontal="center" vertical="center"/>
    </xf>
    <xf numFmtId="0" fontId="72" fillId="0" borderId="5" xfId="0" applyFont="1" applyBorder="1" applyAlignment="1">
      <alignment vertical="center"/>
    </xf>
    <xf numFmtId="0" fontId="0" fillId="0" borderId="5" xfId="0" applyBorder="1" applyAlignment="1">
      <alignment vertical="center"/>
    </xf>
    <xf numFmtId="0" fontId="28" fillId="0" borderId="7" xfId="0" applyFont="1" applyBorder="1" applyAlignment="1">
      <alignment vertical="center" wrapText="1"/>
    </xf>
    <xf numFmtId="0" fontId="28" fillId="0" borderId="14" xfId="0" applyFont="1" applyBorder="1" applyAlignment="1">
      <alignment vertical="center" wrapText="1"/>
    </xf>
    <xf numFmtId="0" fontId="12" fillId="6" borderId="8" xfId="0" applyFont="1" applyFill="1" applyBorder="1" applyAlignment="1">
      <alignment horizontal="center" vertical="center" wrapText="1"/>
    </xf>
    <xf numFmtId="0" fontId="13" fillId="0" borderId="15" xfId="0" applyFont="1" applyBorder="1" applyAlignment="1">
      <alignment horizontal="center" vertical="center"/>
    </xf>
    <xf numFmtId="0" fontId="0" fillId="0" borderId="5" xfId="0" applyBorder="1" applyAlignment="1">
      <alignment horizontal="center" vertical="center"/>
    </xf>
    <xf numFmtId="0" fontId="53" fillId="6" borderId="6" xfId="0" applyFont="1" applyFill="1" applyBorder="1" applyAlignment="1">
      <alignment vertical="center"/>
    </xf>
    <xf numFmtId="0" fontId="84" fillId="0" borderId="7" xfId="0" applyFont="1" applyBorder="1" applyAlignment="1">
      <alignment vertical="center"/>
    </xf>
    <xf numFmtId="0" fontId="84" fillId="0" borderId="14" xfId="0" applyFont="1" applyBorder="1" applyAlignment="1">
      <alignment vertical="center"/>
    </xf>
    <xf numFmtId="0" fontId="0" fillId="0" borderId="15" xfId="0" applyBorder="1" applyAlignment="1">
      <alignment horizontal="center" vertical="center"/>
    </xf>
    <xf numFmtId="0" fontId="0" fillId="0" borderId="0" xfId="0" applyAlignment="1">
      <alignment horizontal="left" vertical="center"/>
    </xf>
    <xf numFmtId="0" fontId="56" fillId="0" borderId="8" xfId="0" applyFont="1" applyBorder="1" applyAlignment="1">
      <alignment vertical="center"/>
    </xf>
    <xf numFmtId="0" fontId="0" fillId="0" borderId="15" xfId="0" applyBorder="1" applyAlignment="1">
      <alignment vertical="center"/>
    </xf>
    <xf numFmtId="0" fontId="0" fillId="0" borderId="9" xfId="0" applyBorder="1" applyAlignment="1">
      <alignment vertical="center"/>
    </xf>
    <xf numFmtId="0" fontId="12" fillId="0" borderId="12" xfId="0" applyFont="1" applyBorder="1" applyAlignment="1">
      <alignment horizontal="center" vertical="center" textRotation="90"/>
    </xf>
    <xf numFmtId="0" fontId="53" fillId="6" borderId="1" xfId="0" applyFont="1" applyFill="1" applyBorder="1" applyAlignment="1">
      <alignment horizontal="center" vertical="center"/>
    </xf>
    <xf numFmtId="0" fontId="84" fillId="0" borderId="1" xfId="0" applyFont="1" applyBorder="1" applyAlignment="1">
      <alignment horizontal="center" vertical="center"/>
    </xf>
    <xf numFmtId="0" fontId="72" fillId="0" borderId="13" xfId="0" applyFont="1" applyBorder="1" applyAlignment="1">
      <alignment vertical="center"/>
    </xf>
    <xf numFmtId="0" fontId="72" fillId="0" borderId="12" xfId="0" applyFont="1" applyBorder="1" applyAlignment="1">
      <alignment horizontal="right" vertical="center"/>
    </xf>
    <xf numFmtId="0" fontId="72" fillId="0" borderId="0" xfId="0" applyFont="1" applyAlignment="1">
      <alignment horizontal="right" vertical="center"/>
    </xf>
    <xf numFmtId="0" fontId="72" fillId="0" borderId="10" xfId="0" applyFont="1" applyBorder="1" applyAlignment="1">
      <alignment horizontal="right" vertical="center"/>
    </xf>
    <xf numFmtId="0" fontId="0" fillId="0" borderId="5" xfId="0" applyBorder="1" applyAlignment="1">
      <alignment horizontal="right" vertical="center"/>
    </xf>
    <xf numFmtId="0" fontId="28" fillId="0" borderId="6" xfId="0" applyFont="1" applyBorder="1" applyAlignment="1">
      <alignment horizontal="left" vertical="center" wrapText="1"/>
    </xf>
    <xf numFmtId="0" fontId="28" fillId="0" borderId="7" xfId="0" applyFont="1" applyBorder="1" applyAlignment="1">
      <alignment horizontal="left" vertical="center" wrapText="1"/>
    </xf>
    <xf numFmtId="0" fontId="28" fillId="0" borderId="7" xfId="0" applyFont="1" applyBorder="1" applyAlignment="1">
      <alignment horizontal="left" vertical="center"/>
    </xf>
    <xf numFmtId="0" fontId="28" fillId="0" borderId="14" xfId="0" applyFont="1" applyBorder="1" applyAlignment="1">
      <alignment horizontal="left" vertical="center"/>
    </xf>
    <xf numFmtId="0" fontId="69" fillId="0" borderId="7" xfId="0" applyFont="1" applyBorder="1" applyAlignment="1">
      <alignment horizontal="center" vertical="center"/>
    </xf>
    <xf numFmtId="0" fontId="28" fillId="0" borderId="7" xfId="0" applyFont="1" applyBorder="1" applyAlignment="1">
      <alignment horizontal="center" vertical="center"/>
    </xf>
    <xf numFmtId="0" fontId="28" fillId="0" borderId="14" xfId="0" applyFont="1" applyBorder="1" applyAlignment="1">
      <alignment horizontal="center" vertical="center"/>
    </xf>
    <xf numFmtId="0" fontId="3" fillId="0" borderId="11" xfId="0" applyFont="1" applyBorder="1" applyAlignment="1">
      <alignment horizontal="center" vertical="center"/>
    </xf>
    <xf numFmtId="0" fontId="12" fillId="6" borderId="7"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43" fillId="0" borderId="0" xfId="0" applyFont="1" applyAlignment="1">
      <alignment vertical="center"/>
    </xf>
    <xf numFmtId="0" fontId="51" fillId="0" borderId="0" xfId="0" applyFont="1" applyAlignment="1">
      <alignment vertical="center"/>
    </xf>
    <xf numFmtId="0" fontId="5" fillId="6" borderId="34" xfId="0" applyFont="1" applyFill="1" applyBorder="1" applyAlignment="1">
      <alignment horizontal="center" vertical="center"/>
    </xf>
    <xf numFmtId="0" fontId="13" fillId="6" borderId="21" xfId="0" applyFont="1" applyFill="1" applyBorder="1" applyAlignment="1">
      <alignment horizontal="center" vertical="center"/>
    </xf>
    <xf numFmtId="0" fontId="13" fillId="6" borderId="35" xfId="0" applyFont="1" applyFill="1" applyBorder="1" applyAlignment="1">
      <alignment horizontal="center" vertical="center"/>
    </xf>
    <xf numFmtId="0" fontId="4" fillId="0" borderId="3" xfId="0" applyFont="1" applyBorder="1" applyAlignment="1">
      <alignment horizontal="center" vertical="center" textRotation="90"/>
    </xf>
    <xf numFmtId="0" fontId="4" fillId="0" borderId="36" xfId="0" applyFont="1" applyBorder="1" applyAlignment="1">
      <alignment horizontal="center" vertical="center" textRotation="90"/>
    </xf>
    <xf numFmtId="0" fontId="4" fillId="4" borderId="3" xfId="0" applyFont="1" applyFill="1" applyBorder="1" applyAlignment="1">
      <alignment horizontal="center" vertical="center" textRotation="90"/>
    </xf>
    <xf numFmtId="0" fontId="39" fillId="6" borderId="18" xfId="0" applyFont="1" applyFill="1" applyBorder="1" applyAlignment="1">
      <alignment vertical="center"/>
    </xf>
    <xf numFmtId="0" fontId="39" fillId="0" borderId="19" xfId="0" applyFont="1" applyBorder="1" applyAlignment="1">
      <alignment vertical="center"/>
    </xf>
    <xf numFmtId="0" fontId="39" fillId="0" borderId="20" xfId="0" applyFont="1" applyBorder="1" applyAlignment="1">
      <alignment vertical="center"/>
    </xf>
    <xf numFmtId="14" fontId="33" fillId="0" borderId="0" xfId="0" applyNumberFormat="1" applyFont="1" applyAlignment="1">
      <alignment horizontal="center" vertical="center"/>
    </xf>
    <xf numFmtId="0" fontId="12" fillId="6" borderId="28" xfId="0" applyFont="1" applyFill="1" applyBorder="1" applyAlignment="1">
      <alignment horizontal="center" vertical="center" wrapText="1"/>
    </xf>
    <xf numFmtId="0" fontId="12" fillId="6" borderId="29" xfId="0" applyFont="1" applyFill="1" applyBorder="1" applyAlignment="1">
      <alignment horizontal="center" vertical="center" wrapText="1"/>
    </xf>
    <xf numFmtId="0" fontId="12" fillId="6" borderId="32"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30" xfId="0" applyFont="1" applyFill="1" applyBorder="1" applyAlignment="1">
      <alignment horizontal="center" vertical="center"/>
    </xf>
    <xf numFmtId="0" fontId="12" fillId="6" borderId="31"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33" xfId="0" applyFont="1" applyFill="1" applyBorder="1" applyAlignment="1">
      <alignment horizontal="center" vertical="center"/>
    </xf>
    <xf numFmtId="0" fontId="39" fillId="6" borderId="18" xfId="0" applyFont="1" applyFill="1" applyBorder="1" applyAlignment="1">
      <alignment horizontal="center" vertical="center"/>
    </xf>
    <xf numFmtId="0" fontId="56" fillId="6" borderId="19" xfId="0" applyFont="1" applyFill="1" applyBorder="1" applyAlignment="1">
      <alignment horizontal="center" vertical="center"/>
    </xf>
    <xf numFmtId="0" fontId="56" fillId="6" borderId="20" xfId="0" applyFont="1" applyFill="1" applyBorder="1" applyAlignment="1">
      <alignment horizontal="center" vertical="center"/>
    </xf>
    <xf numFmtId="0" fontId="39" fillId="6" borderId="18" xfId="0" applyFont="1" applyFill="1" applyBorder="1" applyAlignment="1">
      <alignment horizontal="center" vertical="center" wrapText="1"/>
    </xf>
    <xf numFmtId="0" fontId="60" fillId="0" borderId="19" xfId="0" applyFont="1" applyBorder="1" applyAlignment="1">
      <alignment horizontal="center" vertical="center" wrapText="1"/>
    </xf>
    <xf numFmtId="0" fontId="60" fillId="0" borderId="20" xfId="0" applyFont="1" applyBorder="1" applyAlignment="1">
      <alignment horizontal="center" vertical="center" wrapText="1"/>
    </xf>
    <xf numFmtId="1" fontId="61" fillId="6" borderId="10" xfId="0" quotePrefix="1" applyNumberFormat="1" applyFont="1" applyFill="1" applyBorder="1" applyAlignment="1">
      <alignment horizontal="center" vertical="center"/>
    </xf>
    <xf numFmtId="1" fontId="61" fillId="6" borderId="5" xfId="0" quotePrefix="1" applyNumberFormat="1" applyFont="1" applyFill="1" applyBorder="1" applyAlignment="1">
      <alignment horizontal="center" vertical="center"/>
    </xf>
    <xf numFmtId="0" fontId="0" fillId="6" borderId="5" xfId="0" applyFill="1" applyBorder="1" applyAlignment="1">
      <alignment vertical="center"/>
    </xf>
    <xf numFmtId="0" fontId="0" fillId="6" borderId="11" xfId="0" applyFill="1" applyBorder="1" applyAlignment="1">
      <alignment vertical="center"/>
    </xf>
    <xf numFmtId="0" fontId="28" fillId="0" borderId="0" xfId="0" applyFont="1" applyAlignment="1">
      <alignment vertical="center"/>
    </xf>
    <xf numFmtId="0" fontId="81" fillId="0" borderId="0" xfId="0" applyFont="1" applyAlignment="1">
      <alignment vertical="center"/>
    </xf>
    <xf numFmtId="0" fontId="72" fillId="6" borderId="0" xfId="0" applyFont="1" applyFill="1" applyAlignment="1">
      <alignment horizontal="center" vertical="center"/>
    </xf>
    <xf numFmtId="0" fontId="0" fillId="6" borderId="0" xfId="0" applyFill="1" applyAlignment="1">
      <alignment vertical="center"/>
    </xf>
    <xf numFmtId="0" fontId="69" fillId="0" borderId="8" xfId="0" applyFont="1" applyBorder="1" applyAlignment="1">
      <alignment horizontal="center" vertical="center" wrapText="1"/>
    </xf>
    <xf numFmtId="0" fontId="81" fillId="0" borderId="15" xfId="0" applyFont="1" applyBorder="1" applyAlignment="1">
      <alignment horizontal="center" vertical="center" wrapText="1"/>
    </xf>
    <xf numFmtId="0" fontId="81" fillId="0" borderId="9" xfId="0" applyFont="1" applyBorder="1" applyAlignment="1">
      <alignment horizontal="center" vertical="center" wrapText="1"/>
    </xf>
    <xf numFmtId="0" fontId="81" fillId="0" borderId="12" xfId="0" applyFont="1" applyBorder="1" applyAlignment="1">
      <alignment horizontal="center" vertical="center" wrapText="1"/>
    </xf>
    <xf numFmtId="0" fontId="81" fillId="0" borderId="0" xfId="0" applyFont="1" applyAlignment="1">
      <alignment horizontal="center" vertical="center" wrapText="1"/>
    </xf>
    <xf numFmtId="0" fontId="81" fillId="0" borderId="13" xfId="0" applyFont="1" applyBorder="1" applyAlignment="1">
      <alignment horizontal="center" vertical="center" wrapText="1"/>
    </xf>
    <xf numFmtId="0" fontId="81" fillId="0" borderId="10" xfId="0" applyFont="1" applyBorder="1" applyAlignment="1">
      <alignment horizontal="center" vertical="center" wrapText="1"/>
    </xf>
    <xf numFmtId="0" fontId="81" fillId="0" borderId="5" xfId="0" applyFont="1" applyBorder="1" applyAlignment="1">
      <alignment horizontal="center" vertical="center" wrapText="1"/>
    </xf>
    <xf numFmtId="0" fontId="81" fillId="0" borderId="11" xfId="0" applyFont="1" applyBorder="1" applyAlignment="1">
      <alignment horizontal="center" vertical="center" wrapText="1"/>
    </xf>
    <xf numFmtId="0" fontId="69" fillId="0" borderId="8" xfId="0" applyFont="1" applyBorder="1" applyAlignment="1">
      <alignment horizontal="center" vertical="center"/>
    </xf>
    <xf numFmtId="0" fontId="81" fillId="0" borderId="15" xfId="0" applyFont="1" applyBorder="1" applyAlignment="1">
      <alignment horizontal="center" vertical="center"/>
    </xf>
    <xf numFmtId="0" fontId="81" fillId="0" borderId="9" xfId="0" applyFont="1" applyBorder="1" applyAlignment="1">
      <alignment horizontal="center" vertical="center"/>
    </xf>
    <xf numFmtId="0" fontId="81" fillId="0" borderId="12" xfId="0" applyFont="1" applyBorder="1" applyAlignment="1">
      <alignment horizontal="center" vertical="center"/>
    </xf>
    <xf numFmtId="0" fontId="81" fillId="0" borderId="0" xfId="0" applyFont="1" applyAlignment="1">
      <alignment horizontal="center" vertical="center"/>
    </xf>
    <xf numFmtId="0" fontId="81" fillId="0" borderId="13" xfId="0" applyFont="1" applyBorder="1" applyAlignment="1">
      <alignment horizontal="center" vertical="center"/>
    </xf>
    <xf numFmtId="0" fontId="81" fillId="0" borderId="10" xfId="0" applyFont="1" applyBorder="1" applyAlignment="1">
      <alignment horizontal="center" vertical="center"/>
    </xf>
    <xf numFmtId="0" fontId="81" fillId="0" borderId="5" xfId="0" applyFont="1" applyBorder="1" applyAlignment="1">
      <alignment horizontal="center" vertical="center"/>
    </xf>
    <xf numFmtId="0" fontId="81" fillId="0" borderId="11" xfId="0" applyFont="1" applyBorder="1" applyAlignment="1">
      <alignment horizontal="center" vertical="center"/>
    </xf>
    <xf numFmtId="0" fontId="3" fillId="0" borderId="13" xfId="0" applyFont="1" applyBorder="1" applyAlignment="1">
      <alignment horizontal="right" vertical="center"/>
    </xf>
    <xf numFmtId="1" fontId="61" fillId="6" borderId="12" xfId="0" quotePrefix="1" applyNumberFormat="1" applyFont="1" applyFill="1" applyBorder="1" applyAlignment="1">
      <alignment horizontal="center" vertical="center"/>
    </xf>
    <xf numFmtId="1" fontId="61" fillId="6" borderId="0" xfId="0" quotePrefix="1" applyNumberFormat="1" applyFont="1" applyFill="1" applyAlignment="1">
      <alignment horizontal="center" vertical="center"/>
    </xf>
    <xf numFmtId="0" fontId="0" fillId="6" borderId="13" xfId="0" applyFill="1" applyBorder="1" applyAlignment="1">
      <alignment vertical="center"/>
    </xf>
    <xf numFmtId="0" fontId="11" fillId="6" borderId="8" xfId="0" applyFont="1" applyFill="1" applyBorder="1" applyAlignment="1">
      <alignment horizontal="left" vertical="center"/>
    </xf>
    <xf numFmtId="0" fontId="11" fillId="6" borderId="15" xfId="0" applyFont="1" applyFill="1" applyBorder="1" applyAlignment="1">
      <alignment horizontal="left" vertical="center"/>
    </xf>
    <xf numFmtId="0" fontId="11" fillId="6" borderId="9" xfId="0" applyFont="1" applyFill="1" applyBorder="1" applyAlignment="1">
      <alignment horizontal="left" vertical="center"/>
    </xf>
    <xf numFmtId="0" fontId="39" fillId="6" borderId="7" xfId="0" applyFont="1" applyFill="1" applyBorder="1" applyAlignment="1">
      <alignment vertical="center"/>
    </xf>
    <xf numFmtId="0" fontId="39" fillId="6" borderId="14" xfId="0" applyFont="1" applyFill="1" applyBorder="1" applyAlignment="1">
      <alignment vertical="center"/>
    </xf>
    <xf numFmtId="0" fontId="3" fillId="0" borderId="9" xfId="0" applyFont="1" applyBorder="1" applyAlignment="1">
      <alignment vertical="center"/>
    </xf>
    <xf numFmtId="0" fontId="35" fillId="0" borderId="0" xfId="0" applyFont="1" applyAlignment="1">
      <alignment vertical="center"/>
    </xf>
    <xf numFmtId="0" fontId="39" fillId="6" borderId="8" xfId="0" applyFont="1" applyFill="1" applyBorder="1" applyAlignment="1">
      <alignment vertical="center"/>
    </xf>
    <xf numFmtId="0" fontId="40" fillId="0" borderId="15" xfId="0" applyFont="1" applyBorder="1" applyAlignment="1">
      <alignment vertical="center"/>
    </xf>
    <xf numFmtId="0" fontId="40" fillId="0" borderId="9" xfId="0" applyFont="1" applyBorder="1" applyAlignment="1">
      <alignment vertical="center"/>
    </xf>
    <xf numFmtId="0" fontId="5" fillId="6" borderId="3" xfId="0" applyFont="1" applyFill="1" applyBorder="1" applyAlignment="1">
      <alignment horizontal="center" vertical="center"/>
    </xf>
    <xf numFmtId="0" fontId="4" fillId="5" borderId="3" xfId="0" applyFont="1" applyFill="1" applyBorder="1" applyAlignment="1">
      <alignment horizontal="center" vertical="center" textRotation="90"/>
    </xf>
    <xf numFmtId="0" fontId="6" fillId="5" borderId="3" xfId="0" applyFont="1" applyFill="1" applyBorder="1" applyAlignment="1">
      <alignment vertical="center"/>
    </xf>
    <xf numFmtId="0" fontId="5" fillId="6" borderId="12" xfId="0" applyFont="1" applyFill="1" applyBorder="1" applyAlignment="1">
      <alignment horizontal="right" vertical="center"/>
    </xf>
    <xf numFmtId="0" fontId="4" fillId="0" borderId="2" xfId="0" applyFont="1" applyBorder="1" applyAlignment="1">
      <alignment horizontal="center" vertical="center" textRotation="90"/>
    </xf>
    <xf numFmtId="0" fontId="4" fillId="0" borderId="4" xfId="0" applyFont="1" applyBorder="1" applyAlignment="1">
      <alignment horizontal="center" vertical="center" textRotation="90"/>
    </xf>
    <xf numFmtId="0" fontId="13" fillId="12" borderId="2" xfId="0" applyFont="1" applyFill="1" applyBorder="1" applyAlignment="1">
      <alignment horizontal="center" vertical="center" wrapText="1"/>
    </xf>
    <xf numFmtId="0" fontId="0" fillId="12" borderId="4" xfId="0" applyFill="1" applyBorder="1" applyAlignment="1">
      <alignment horizontal="center" vertical="center" wrapText="1"/>
    </xf>
    <xf numFmtId="0" fontId="13" fillId="5" borderId="2" xfId="0" applyFont="1" applyFill="1" applyBorder="1" applyAlignment="1">
      <alignment horizontal="center" vertical="center" wrapText="1"/>
    </xf>
    <xf numFmtId="0" fontId="0" fillId="5" borderId="4" xfId="0" applyFill="1" applyBorder="1" applyAlignment="1">
      <alignment horizontal="center" vertical="center" wrapText="1"/>
    </xf>
    <xf numFmtId="0" fontId="13" fillId="11" borderId="2" xfId="0" applyFont="1" applyFill="1" applyBorder="1" applyAlignment="1">
      <alignment horizontal="center" vertical="center" wrapText="1"/>
    </xf>
    <xf numFmtId="0" fontId="0" fillId="11" borderId="4" xfId="0" applyFill="1" applyBorder="1" applyAlignment="1">
      <alignment horizontal="center" vertical="center" wrapText="1"/>
    </xf>
    <xf numFmtId="0" fontId="12" fillId="6" borderId="6" xfId="0" applyFont="1" applyFill="1" applyBorder="1" applyAlignment="1">
      <alignment horizontal="right" vertical="center"/>
    </xf>
    <xf numFmtId="0" fontId="0" fillId="0" borderId="7" xfId="0" applyBorder="1" applyAlignment="1">
      <alignment horizontal="right" vertical="center"/>
    </xf>
    <xf numFmtId="0" fontId="0" fillId="0" borderId="44" xfId="0" applyBorder="1" applyAlignment="1">
      <alignment horizontal="right" vertical="center"/>
    </xf>
    <xf numFmtId="0" fontId="26" fillId="0" borderId="0" xfId="0" applyFont="1" applyAlignment="1">
      <alignment vertical="center"/>
    </xf>
    <xf numFmtId="0" fontId="12" fillId="6" borderId="6" xfId="0" applyFont="1" applyFill="1" applyBorder="1" applyAlignment="1">
      <alignment horizontal="left" vertical="center"/>
    </xf>
    <xf numFmtId="0" fontId="26" fillId="0" borderId="15" xfId="0" applyFont="1" applyBorder="1" applyAlignment="1">
      <alignment vertical="center"/>
    </xf>
    <xf numFmtId="0" fontId="69" fillId="8" borderId="0" xfId="0" applyFont="1" applyFill="1" applyAlignment="1">
      <alignment vertical="center"/>
    </xf>
    <xf numFmtId="0" fontId="70" fillId="8" borderId="0" xfId="0" applyFont="1" applyFill="1" applyAlignment="1">
      <alignment vertical="center"/>
    </xf>
    <xf numFmtId="0" fontId="71" fillId="8" borderId="0" xfId="0" applyFont="1" applyFill="1" applyAlignment="1">
      <alignment vertical="center"/>
    </xf>
    <xf numFmtId="0" fontId="12" fillId="6" borderId="0" xfId="0" applyFont="1" applyFill="1" applyAlignment="1">
      <alignment horizontal="left" vertical="center"/>
    </xf>
    <xf numFmtId="0" fontId="60" fillId="0" borderId="32" xfId="0" applyFont="1" applyBorder="1" applyAlignment="1">
      <alignment vertical="center"/>
    </xf>
    <xf numFmtId="0" fontId="0" fillId="0" borderId="33" xfId="0" applyBorder="1" applyAlignment="1">
      <alignment vertical="center"/>
    </xf>
    <xf numFmtId="0" fontId="60" fillId="0" borderId="37" xfId="0" applyFont="1" applyBorder="1" applyAlignment="1">
      <alignment vertical="center"/>
    </xf>
    <xf numFmtId="0" fontId="0" fillId="0" borderId="38" xfId="0" applyBorder="1" applyAlignment="1">
      <alignment vertical="center"/>
    </xf>
    <xf numFmtId="0" fontId="79" fillId="6" borderId="0" xfId="0" applyFont="1" applyFill="1" applyAlignment="1">
      <alignment horizontal="right" vertical="center"/>
    </xf>
    <xf numFmtId="0" fontId="5" fillId="6" borderId="28"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6" borderId="3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16" fillId="6" borderId="30" xfId="0" applyFont="1" applyFill="1" applyBorder="1" applyAlignment="1">
      <alignment horizontal="center" vertical="center"/>
    </xf>
    <xf numFmtId="0" fontId="16" fillId="6" borderId="42" xfId="0" applyFont="1" applyFill="1" applyBorder="1" applyAlignment="1">
      <alignment horizontal="center" vertical="center"/>
    </xf>
    <xf numFmtId="0" fontId="16" fillId="6" borderId="12" xfId="0" applyFont="1" applyFill="1" applyBorder="1" applyAlignment="1">
      <alignment horizontal="center" vertical="center"/>
    </xf>
    <xf numFmtId="0" fontId="16" fillId="6" borderId="0" xfId="0" applyFont="1" applyFill="1" applyAlignment="1">
      <alignment horizontal="center" vertical="center"/>
    </xf>
    <xf numFmtId="0" fontId="13" fillId="0" borderId="0" xfId="0" applyFont="1" applyAlignment="1"/>
    <xf numFmtId="0" fontId="0" fillId="0" borderId="0" xfId="0" applyAlignment="1"/>
  </cellXfs>
  <cellStyles count="2">
    <cellStyle name="Link" xfId="1" builtinId="8"/>
    <cellStyle name="Standard" xfId="0" builtinId="0"/>
  </cellStyles>
  <dxfs count="0"/>
  <tableStyles count="0" defaultTableStyle="TableStyleMedium2" defaultPivotStyle="PivotStyleLight16"/>
  <colors>
    <mruColors>
      <color rgb="FFFFFFCC"/>
      <color rgb="FFFFFFFF"/>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6" Type="http://schemas.openxmlformats.org/officeDocument/2006/relationships/hyperlink" Target="#'4-2'!A1"/><Relationship Id="rId21" Type="http://schemas.openxmlformats.org/officeDocument/2006/relationships/hyperlink" Target="#'5-1'!A1"/><Relationship Id="rId42" Type="http://schemas.openxmlformats.org/officeDocument/2006/relationships/image" Target="../media/image12.png"/><Relationship Id="rId47" Type="http://schemas.openxmlformats.org/officeDocument/2006/relationships/image" Target="../media/image17.svg"/><Relationship Id="rId63" Type="http://schemas.openxmlformats.org/officeDocument/2006/relationships/image" Target="../media/image33.svg"/><Relationship Id="rId68" Type="http://schemas.openxmlformats.org/officeDocument/2006/relationships/image" Target="../media/image38.png"/><Relationship Id="rId7" Type="http://schemas.openxmlformats.org/officeDocument/2006/relationships/hyperlink" Target="#'2-2'!A1"/><Relationship Id="rId2" Type="http://schemas.openxmlformats.org/officeDocument/2006/relationships/hyperlink" Target="#'1-0'!A1"/><Relationship Id="rId16" Type="http://schemas.openxmlformats.org/officeDocument/2006/relationships/hyperlink" Target="#'B5-2'!A1"/><Relationship Id="rId29" Type="http://schemas.openxmlformats.org/officeDocument/2006/relationships/hyperlink" Target="#'B4-3'!A1"/><Relationship Id="rId11" Type="http://schemas.openxmlformats.org/officeDocument/2006/relationships/hyperlink" Target="#'B1-1'!A1"/><Relationship Id="rId24" Type="http://schemas.openxmlformats.org/officeDocument/2006/relationships/hyperlink" Target="#'B4-1'!A1"/><Relationship Id="rId32" Type="http://schemas.openxmlformats.org/officeDocument/2006/relationships/image" Target="../media/image2.png"/><Relationship Id="rId37" Type="http://schemas.openxmlformats.org/officeDocument/2006/relationships/image" Target="../media/image7.svg"/><Relationship Id="rId40" Type="http://schemas.openxmlformats.org/officeDocument/2006/relationships/image" Target="../media/image10.png"/><Relationship Id="rId45" Type="http://schemas.openxmlformats.org/officeDocument/2006/relationships/image" Target="../media/image15.svg"/><Relationship Id="rId53" Type="http://schemas.openxmlformats.org/officeDocument/2006/relationships/image" Target="../media/image23.svg"/><Relationship Id="rId58" Type="http://schemas.openxmlformats.org/officeDocument/2006/relationships/image" Target="../media/image28.png"/><Relationship Id="rId66" Type="http://schemas.openxmlformats.org/officeDocument/2006/relationships/image" Target="../media/image36.png"/><Relationship Id="rId5" Type="http://schemas.openxmlformats.org/officeDocument/2006/relationships/hyperlink" Target="#'1-2'!A1"/><Relationship Id="rId61" Type="http://schemas.openxmlformats.org/officeDocument/2006/relationships/image" Target="../media/image31.svg"/><Relationship Id="rId19" Type="http://schemas.openxmlformats.org/officeDocument/2006/relationships/hyperlink" Target="#'B3-2'!A1"/><Relationship Id="rId14" Type="http://schemas.openxmlformats.org/officeDocument/2006/relationships/hyperlink" Target="#'B2-2'!A1"/><Relationship Id="rId22" Type="http://schemas.openxmlformats.org/officeDocument/2006/relationships/hyperlink" Target="#'5-3'!A1"/><Relationship Id="rId27" Type="http://schemas.openxmlformats.org/officeDocument/2006/relationships/hyperlink" Target="#'B4-2'!A1"/><Relationship Id="rId30" Type="http://schemas.openxmlformats.org/officeDocument/2006/relationships/hyperlink" Target="#'B5-3'!A1"/><Relationship Id="rId35" Type="http://schemas.openxmlformats.org/officeDocument/2006/relationships/image" Target="../media/image5.svg"/><Relationship Id="rId43" Type="http://schemas.openxmlformats.org/officeDocument/2006/relationships/image" Target="../media/image13.svg"/><Relationship Id="rId48" Type="http://schemas.openxmlformats.org/officeDocument/2006/relationships/image" Target="../media/image18.png"/><Relationship Id="rId56" Type="http://schemas.openxmlformats.org/officeDocument/2006/relationships/image" Target="../media/image26.png"/><Relationship Id="rId64" Type="http://schemas.openxmlformats.org/officeDocument/2006/relationships/image" Target="../media/image34.png"/><Relationship Id="rId69" Type="http://schemas.openxmlformats.org/officeDocument/2006/relationships/image" Target="../media/image39.svg"/><Relationship Id="rId8" Type="http://schemas.openxmlformats.org/officeDocument/2006/relationships/hyperlink" Target="#'2-3'!A1"/><Relationship Id="rId51" Type="http://schemas.openxmlformats.org/officeDocument/2006/relationships/image" Target="../media/image21.svg"/><Relationship Id="rId3" Type="http://schemas.openxmlformats.org/officeDocument/2006/relationships/hyperlink" Target="#'B1-0'!A1"/><Relationship Id="rId12" Type="http://schemas.openxmlformats.org/officeDocument/2006/relationships/hyperlink" Target="#'B1-2'!A1"/><Relationship Id="rId17" Type="http://schemas.openxmlformats.org/officeDocument/2006/relationships/hyperlink" Target="#'B3-1'!A1"/><Relationship Id="rId25" Type="http://schemas.openxmlformats.org/officeDocument/2006/relationships/hyperlink" Target="#'B5-1'!A1"/><Relationship Id="rId33" Type="http://schemas.openxmlformats.org/officeDocument/2006/relationships/image" Target="../media/image3.svg"/><Relationship Id="rId38" Type="http://schemas.openxmlformats.org/officeDocument/2006/relationships/image" Target="../media/image8.png"/><Relationship Id="rId46" Type="http://schemas.openxmlformats.org/officeDocument/2006/relationships/image" Target="../media/image16.png"/><Relationship Id="rId59" Type="http://schemas.openxmlformats.org/officeDocument/2006/relationships/image" Target="../media/image29.svg"/><Relationship Id="rId67" Type="http://schemas.openxmlformats.org/officeDocument/2006/relationships/image" Target="../media/image37.svg"/><Relationship Id="rId20" Type="http://schemas.openxmlformats.org/officeDocument/2006/relationships/hyperlink" Target="#'3-3'!A1"/><Relationship Id="rId41" Type="http://schemas.openxmlformats.org/officeDocument/2006/relationships/image" Target="../media/image11.svg"/><Relationship Id="rId54" Type="http://schemas.openxmlformats.org/officeDocument/2006/relationships/image" Target="../media/image24.png"/><Relationship Id="rId62" Type="http://schemas.openxmlformats.org/officeDocument/2006/relationships/image" Target="../media/image32.png"/><Relationship Id="rId1" Type="http://schemas.openxmlformats.org/officeDocument/2006/relationships/image" Target="../media/image1.png"/><Relationship Id="rId6" Type="http://schemas.openxmlformats.org/officeDocument/2006/relationships/hyperlink" Target="#'2-1'!A1"/><Relationship Id="rId15" Type="http://schemas.openxmlformats.org/officeDocument/2006/relationships/hyperlink" Target="#'B2-3'!A1"/><Relationship Id="rId23" Type="http://schemas.openxmlformats.org/officeDocument/2006/relationships/hyperlink" Target="#'4-1'!A1"/><Relationship Id="rId28" Type="http://schemas.openxmlformats.org/officeDocument/2006/relationships/hyperlink" Target="#'4-3'!A1"/><Relationship Id="rId36" Type="http://schemas.openxmlformats.org/officeDocument/2006/relationships/image" Target="../media/image6.png"/><Relationship Id="rId49" Type="http://schemas.openxmlformats.org/officeDocument/2006/relationships/image" Target="../media/image19.svg"/><Relationship Id="rId57" Type="http://schemas.openxmlformats.org/officeDocument/2006/relationships/image" Target="../media/image27.svg"/><Relationship Id="rId10" Type="http://schemas.openxmlformats.org/officeDocument/2006/relationships/hyperlink" Target="#'5-2'!A1"/><Relationship Id="rId31" Type="http://schemas.openxmlformats.org/officeDocument/2006/relationships/hyperlink" Target="#'B3-3'!A1"/><Relationship Id="rId44" Type="http://schemas.openxmlformats.org/officeDocument/2006/relationships/image" Target="../media/image14.png"/><Relationship Id="rId52" Type="http://schemas.openxmlformats.org/officeDocument/2006/relationships/image" Target="../media/image22.png"/><Relationship Id="rId60" Type="http://schemas.openxmlformats.org/officeDocument/2006/relationships/image" Target="../media/image30.png"/><Relationship Id="rId65" Type="http://schemas.openxmlformats.org/officeDocument/2006/relationships/image" Target="../media/image35.svg"/><Relationship Id="rId4" Type="http://schemas.openxmlformats.org/officeDocument/2006/relationships/hyperlink" Target="#'1-1'!A1"/><Relationship Id="rId9" Type="http://schemas.openxmlformats.org/officeDocument/2006/relationships/hyperlink" Target="#'3-2'!A1"/><Relationship Id="rId13" Type="http://schemas.openxmlformats.org/officeDocument/2006/relationships/hyperlink" Target="#'B2-1'!A1"/><Relationship Id="rId18" Type="http://schemas.openxmlformats.org/officeDocument/2006/relationships/hyperlink" Target="#'3-1'!A1"/><Relationship Id="rId39" Type="http://schemas.openxmlformats.org/officeDocument/2006/relationships/image" Target="../media/image9.svg"/><Relationship Id="rId34" Type="http://schemas.openxmlformats.org/officeDocument/2006/relationships/image" Target="../media/image4.png"/><Relationship Id="rId50" Type="http://schemas.openxmlformats.org/officeDocument/2006/relationships/image" Target="../media/image20.png"/><Relationship Id="rId55" Type="http://schemas.openxmlformats.org/officeDocument/2006/relationships/image" Target="../media/image25.svg"/></Relationships>
</file>

<file path=xl/drawings/_rels/drawing2.xml.rels><?xml version="1.0" encoding="UTF-8" standalone="yes"?>
<Relationships xmlns="http://schemas.openxmlformats.org/package/2006/relationships"><Relationship Id="rId2" Type="http://schemas.openxmlformats.org/officeDocument/2006/relationships/hyperlink" Target="#&#220;!A1"/><Relationship Id="rId1" Type="http://schemas.openxmlformats.org/officeDocument/2006/relationships/image" Target="../media/image40.jpg"/></Relationships>
</file>

<file path=xl/drawings/_rels/drawing3.xml.rels><?xml version="1.0" encoding="UTF-8" standalone="yes"?>
<Relationships xmlns="http://schemas.openxmlformats.org/package/2006/relationships"><Relationship Id="rId2" Type="http://schemas.openxmlformats.org/officeDocument/2006/relationships/hyperlink" Target="#&#220;!A1"/><Relationship Id="rId1" Type="http://schemas.openxmlformats.org/officeDocument/2006/relationships/image" Target="../media/image40.jpg"/></Relationships>
</file>

<file path=xl/drawings/_rels/drawing4.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5.xml.rels><?xml version="1.0" encoding="UTF-8" standalone="yes"?>
<Relationships xmlns="http://schemas.openxmlformats.org/package/2006/relationships"><Relationship Id="rId2" Type="http://schemas.openxmlformats.org/officeDocument/2006/relationships/hyperlink" Target="#&#220;!A1"/><Relationship Id="rId1" Type="http://schemas.openxmlformats.org/officeDocument/2006/relationships/image" Target="../media/image40.jpg"/></Relationships>
</file>

<file path=xl/drawings/_rels/drawing6.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7.xml.rels><?xml version="1.0" encoding="UTF-8" standalone="yes"?>
<Relationships xmlns="http://schemas.openxmlformats.org/package/2006/relationships"><Relationship Id="rId2" Type="http://schemas.openxmlformats.org/officeDocument/2006/relationships/hyperlink" Target="#&#220;!A1"/><Relationship Id="rId1" Type="http://schemas.openxmlformats.org/officeDocument/2006/relationships/image" Target="../media/image40.jpg"/></Relationships>
</file>

<file path=xl/drawings/_rels/drawing8.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9.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0.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1.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2.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3.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4.xml.rels><?xml version="1.0" encoding="UTF-8" standalone="yes"?>
<Relationships xmlns="http://schemas.openxmlformats.org/package/2006/relationships"><Relationship Id="rId2" Type="http://schemas.openxmlformats.org/officeDocument/2006/relationships/hyperlink" Target="#&#220;!A1"/><Relationship Id="rId1" Type="http://schemas.openxmlformats.org/officeDocument/2006/relationships/image" Target="../media/image40.jpg"/></Relationships>
</file>

<file path=xl/drawings/_rels/drawing15.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6.xml.rels><?xml version="1.0" encoding="UTF-8" standalone="yes"?>
<Relationships xmlns="http://schemas.openxmlformats.org/package/2006/relationships"><Relationship Id="rId2" Type="http://schemas.openxmlformats.org/officeDocument/2006/relationships/image" Target="../media/image40.jpg"/><Relationship Id="rId1" Type="http://schemas.openxmlformats.org/officeDocument/2006/relationships/hyperlink" Target="#&#220;!A1"/></Relationships>
</file>

<file path=xl/drawings/_rels/drawing17.xml.rels><?xml version="1.0" encoding="UTF-8" standalone="yes"?>
<Relationships xmlns="http://schemas.openxmlformats.org/package/2006/relationships"><Relationship Id="rId1" Type="http://schemas.openxmlformats.org/officeDocument/2006/relationships/hyperlink" Target="#&#220;!A1"/></Relationships>
</file>

<file path=xl/drawings/_rels/drawing18.xml.rels><?xml version="1.0" encoding="UTF-8" standalone="yes"?>
<Relationships xmlns="http://schemas.openxmlformats.org/package/2006/relationships"><Relationship Id="rId1" Type="http://schemas.openxmlformats.org/officeDocument/2006/relationships/hyperlink" Target="#&#220;!A1"/></Relationships>
</file>

<file path=xl/drawings/_rels/drawing19.xml.rels><?xml version="1.0" encoding="UTF-8" standalone="yes"?>
<Relationships xmlns="http://schemas.openxmlformats.org/package/2006/relationships"><Relationship Id="rId1" Type="http://schemas.openxmlformats.org/officeDocument/2006/relationships/hyperlink" Target="#&#220;!A1"/></Relationships>
</file>

<file path=xl/drawings/_rels/drawing20.xml.rels><?xml version="1.0" encoding="UTF-8" standalone="yes"?>
<Relationships xmlns="http://schemas.openxmlformats.org/package/2006/relationships"><Relationship Id="rId1" Type="http://schemas.openxmlformats.org/officeDocument/2006/relationships/hyperlink" Target="#&#220;!A1"/></Relationships>
</file>

<file path=xl/drawings/_rels/drawing21.xml.rels><?xml version="1.0" encoding="UTF-8" standalone="yes"?>
<Relationships xmlns="http://schemas.openxmlformats.org/package/2006/relationships"><Relationship Id="rId1" Type="http://schemas.openxmlformats.org/officeDocument/2006/relationships/hyperlink" Target="#&#220;!A1"/></Relationships>
</file>

<file path=xl/drawings/_rels/drawing22.xml.rels><?xml version="1.0" encoding="UTF-8" standalone="yes"?>
<Relationships xmlns="http://schemas.openxmlformats.org/package/2006/relationships"><Relationship Id="rId1" Type="http://schemas.openxmlformats.org/officeDocument/2006/relationships/hyperlink" Target="#&#220;!A1"/></Relationships>
</file>

<file path=xl/drawings/_rels/drawing23.xml.rels><?xml version="1.0" encoding="UTF-8" standalone="yes"?>
<Relationships xmlns="http://schemas.openxmlformats.org/package/2006/relationships"><Relationship Id="rId1" Type="http://schemas.openxmlformats.org/officeDocument/2006/relationships/hyperlink" Target="#&#220;!A1"/></Relationships>
</file>

<file path=xl/drawings/_rels/drawing24.xml.rels><?xml version="1.0" encoding="UTF-8" standalone="yes"?>
<Relationships xmlns="http://schemas.openxmlformats.org/package/2006/relationships"><Relationship Id="rId1" Type="http://schemas.openxmlformats.org/officeDocument/2006/relationships/hyperlink" Target="#&#220;!A1"/></Relationships>
</file>

<file path=xl/drawings/_rels/drawing25.xml.rels><?xml version="1.0" encoding="UTF-8" standalone="yes"?>
<Relationships xmlns="http://schemas.openxmlformats.org/package/2006/relationships"><Relationship Id="rId1" Type="http://schemas.openxmlformats.org/officeDocument/2006/relationships/hyperlink" Target="#&#220;!A1"/></Relationships>
</file>

<file path=xl/drawings/_rels/drawing26.xml.rels><?xml version="1.0" encoding="UTF-8" standalone="yes"?>
<Relationships xmlns="http://schemas.openxmlformats.org/package/2006/relationships"><Relationship Id="rId1" Type="http://schemas.openxmlformats.org/officeDocument/2006/relationships/hyperlink" Target="#&#220;!A1"/></Relationships>
</file>

<file path=xl/drawings/_rels/drawing27.xml.rels><?xml version="1.0" encoding="UTF-8" standalone="yes"?>
<Relationships xmlns="http://schemas.openxmlformats.org/package/2006/relationships"><Relationship Id="rId1" Type="http://schemas.openxmlformats.org/officeDocument/2006/relationships/hyperlink" Target="#&#220;!A1"/></Relationships>
</file>

<file path=xl/drawings/_rels/drawing28.xml.rels><?xml version="1.0" encoding="UTF-8" standalone="yes"?>
<Relationships xmlns="http://schemas.openxmlformats.org/package/2006/relationships"><Relationship Id="rId1" Type="http://schemas.openxmlformats.org/officeDocument/2006/relationships/hyperlink" Target="#&#220;!A1"/></Relationships>
</file>

<file path=xl/drawings/_rels/drawing29.xml.rels><?xml version="1.0" encoding="UTF-8" standalone="yes"?>
<Relationships xmlns="http://schemas.openxmlformats.org/package/2006/relationships"><Relationship Id="rId1" Type="http://schemas.openxmlformats.org/officeDocument/2006/relationships/hyperlink" Target="#&#220;!A1"/></Relationships>
</file>

<file path=xl/drawings/_rels/drawing30.xml.rels><?xml version="1.0" encoding="UTF-8" standalone="yes"?>
<Relationships xmlns="http://schemas.openxmlformats.org/package/2006/relationships"><Relationship Id="rId1" Type="http://schemas.openxmlformats.org/officeDocument/2006/relationships/hyperlink" Target="#&#220;!A1"/></Relationships>
</file>

<file path=xl/drawings/_rels/drawing31.xml.rels><?xml version="1.0" encoding="UTF-8" standalone="yes"?>
<Relationships xmlns="http://schemas.openxmlformats.org/package/2006/relationships"><Relationship Id="rId1" Type="http://schemas.openxmlformats.org/officeDocument/2006/relationships/hyperlink" Target="#&#220;!A1"/></Relationships>
</file>

<file path=xl/drawings/drawing1.xml><?xml version="1.0" encoding="utf-8"?>
<xdr:wsDr xmlns:xdr="http://schemas.openxmlformats.org/drawingml/2006/spreadsheetDrawing" xmlns:a="http://schemas.openxmlformats.org/drawingml/2006/main">
  <xdr:twoCellAnchor editAs="oneCell">
    <xdr:from>
      <xdr:col>14</xdr:col>
      <xdr:colOff>401461</xdr:colOff>
      <xdr:row>1</xdr:row>
      <xdr:rowOff>34220</xdr:rowOff>
    </xdr:from>
    <xdr:to>
      <xdr:col>15</xdr:col>
      <xdr:colOff>744795</xdr:colOff>
      <xdr:row>3</xdr:row>
      <xdr:rowOff>6174</xdr:rowOff>
    </xdr:to>
    <xdr:pic>
      <xdr:nvPicPr>
        <xdr:cNvPr id="3" name="Bild 1">
          <a:extLst>
            <a:ext uri="{FF2B5EF4-FFF2-40B4-BE49-F238E27FC236}">
              <a16:creationId xmlns:a16="http://schemas.microsoft.com/office/drawing/2014/main" id="{7CF997E7-30CB-4721-BF56-963E48D70E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88774" y="113595"/>
          <a:ext cx="1152959" cy="479954"/>
        </a:xfrm>
        <a:prstGeom prst="rect">
          <a:avLst/>
        </a:prstGeom>
      </xdr:spPr>
    </xdr:pic>
    <xdr:clientData/>
  </xdr:twoCellAnchor>
  <xdr:twoCellAnchor>
    <xdr:from>
      <xdr:col>3</xdr:col>
      <xdr:colOff>174626</xdr:colOff>
      <xdr:row>6</xdr:row>
      <xdr:rowOff>31749</xdr:rowOff>
    </xdr:from>
    <xdr:to>
      <xdr:col>3</xdr:col>
      <xdr:colOff>976313</xdr:colOff>
      <xdr:row>6</xdr:row>
      <xdr:rowOff>285751</xdr:rowOff>
    </xdr:to>
    <xdr:sp macro="" textlink="">
      <xdr:nvSpPr>
        <xdr:cNvPr id="2" name="Rechteck: abgeschrägt 1">
          <a:hlinkClick xmlns:r="http://schemas.openxmlformats.org/officeDocument/2006/relationships" r:id="rId2"/>
          <a:extLst>
            <a:ext uri="{FF2B5EF4-FFF2-40B4-BE49-F238E27FC236}">
              <a16:creationId xmlns:a16="http://schemas.microsoft.com/office/drawing/2014/main" id="{BE0F3979-9B8E-406A-AC0E-E4461810E524}"/>
            </a:ext>
          </a:extLst>
        </xdr:cNvPr>
        <xdr:cNvSpPr/>
      </xdr:nvSpPr>
      <xdr:spPr>
        <a:xfrm>
          <a:off x="3254376" y="1063624"/>
          <a:ext cx="801687" cy="254002"/>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1-0</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176215</xdr:colOff>
      <xdr:row>6</xdr:row>
      <xdr:rowOff>33338</xdr:rowOff>
    </xdr:from>
    <xdr:to>
      <xdr:col>4</xdr:col>
      <xdr:colOff>977902</xdr:colOff>
      <xdr:row>6</xdr:row>
      <xdr:rowOff>293688</xdr:rowOff>
    </xdr:to>
    <xdr:sp macro="" textlink="">
      <xdr:nvSpPr>
        <xdr:cNvPr id="4" name="Rechteck: abgeschrägt 3">
          <a:hlinkClick xmlns:r="http://schemas.openxmlformats.org/officeDocument/2006/relationships" r:id="rId3"/>
          <a:extLst>
            <a:ext uri="{FF2B5EF4-FFF2-40B4-BE49-F238E27FC236}">
              <a16:creationId xmlns:a16="http://schemas.microsoft.com/office/drawing/2014/main" id="{3291312F-553B-43C4-99AB-D68D4CFFA9D9}"/>
            </a:ext>
          </a:extLst>
        </xdr:cNvPr>
        <xdr:cNvSpPr/>
      </xdr:nvSpPr>
      <xdr:spPr>
        <a:xfrm>
          <a:off x="4351340" y="1065213"/>
          <a:ext cx="801687" cy="26035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1-0</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174626</xdr:colOff>
      <xdr:row>7</xdr:row>
      <xdr:rowOff>15874</xdr:rowOff>
    </xdr:from>
    <xdr:to>
      <xdr:col>3</xdr:col>
      <xdr:colOff>976313</xdr:colOff>
      <xdr:row>7</xdr:row>
      <xdr:rowOff>301625</xdr:rowOff>
    </xdr:to>
    <xdr:sp macro="" textlink="">
      <xdr:nvSpPr>
        <xdr:cNvPr id="5" name="Rechteck: abgeschrägt 4">
          <a:hlinkClick xmlns:r="http://schemas.openxmlformats.org/officeDocument/2006/relationships" r:id="rId4"/>
          <a:extLst>
            <a:ext uri="{FF2B5EF4-FFF2-40B4-BE49-F238E27FC236}">
              <a16:creationId xmlns:a16="http://schemas.microsoft.com/office/drawing/2014/main" id="{07CADAEF-00A6-44F9-B883-2C57A172D17A}"/>
            </a:ext>
          </a:extLst>
        </xdr:cNvPr>
        <xdr:cNvSpPr/>
      </xdr:nvSpPr>
      <xdr:spPr>
        <a:xfrm>
          <a:off x="3254376" y="1381124"/>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1-1</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166688</xdr:colOff>
      <xdr:row>8</xdr:row>
      <xdr:rowOff>23813</xdr:rowOff>
    </xdr:from>
    <xdr:to>
      <xdr:col>3</xdr:col>
      <xdr:colOff>968375</xdr:colOff>
      <xdr:row>8</xdr:row>
      <xdr:rowOff>309564</xdr:rowOff>
    </xdr:to>
    <xdr:sp macro="" textlink="">
      <xdr:nvSpPr>
        <xdr:cNvPr id="6" name="Rechteck: abgeschrägt 5">
          <a:hlinkClick xmlns:r="http://schemas.openxmlformats.org/officeDocument/2006/relationships" r:id="rId5"/>
          <a:extLst>
            <a:ext uri="{FF2B5EF4-FFF2-40B4-BE49-F238E27FC236}">
              <a16:creationId xmlns:a16="http://schemas.microsoft.com/office/drawing/2014/main" id="{1A044721-6098-4107-8F42-C9C992F0B613}"/>
            </a:ext>
          </a:extLst>
        </xdr:cNvPr>
        <xdr:cNvSpPr/>
      </xdr:nvSpPr>
      <xdr:spPr>
        <a:xfrm>
          <a:off x="3246438" y="1722438"/>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1-2</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158750</xdr:colOff>
      <xdr:row>9</xdr:row>
      <xdr:rowOff>31750</xdr:rowOff>
    </xdr:from>
    <xdr:to>
      <xdr:col>3</xdr:col>
      <xdr:colOff>960437</xdr:colOff>
      <xdr:row>9</xdr:row>
      <xdr:rowOff>317501</xdr:rowOff>
    </xdr:to>
    <xdr:sp macro="" textlink="">
      <xdr:nvSpPr>
        <xdr:cNvPr id="7" name="Rechteck: abgeschrägt 6">
          <a:hlinkClick xmlns:r="http://schemas.openxmlformats.org/officeDocument/2006/relationships" r:id="rId6"/>
          <a:extLst>
            <a:ext uri="{FF2B5EF4-FFF2-40B4-BE49-F238E27FC236}">
              <a16:creationId xmlns:a16="http://schemas.microsoft.com/office/drawing/2014/main" id="{975C346B-F95A-4DBB-BB4B-B6CE462E55E5}"/>
            </a:ext>
          </a:extLst>
        </xdr:cNvPr>
        <xdr:cNvSpPr/>
      </xdr:nvSpPr>
      <xdr:spPr>
        <a:xfrm>
          <a:off x="3238500" y="206375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2-1</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158750</xdr:colOff>
      <xdr:row>10</xdr:row>
      <xdr:rowOff>31750</xdr:rowOff>
    </xdr:from>
    <xdr:to>
      <xdr:col>3</xdr:col>
      <xdr:colOff>960437</xdr:colOff>
      <xdr:row>10</xdr:row>
      <xdr:rowOff>317501</xdr:rowOff>
    </xdr:to>
    <xdr:sp macro="" textlink="">
      <xdr:nvSpPr>
        <xdr:cNvPr id="8" name="Rechteck: abgeschrägt 7">
          <a:hlinkClick xmlns:r="http://schemas.openxmlformats.org/officeDocument/2006/relationships" r:id="rId7"/>
          <a:extLst>
            <a:ext uri="{FF2B5EF4-FFF2-40B4-BE49-F238E27FC236}">
              <a16:creationId xmlns:a16="http://schemas.microsoft.com/office/drawing/2014/main" id="{1C13A5F9-A5D0-49B4-858B-4C3D8FB68830}"/>
            </a:ext>
          </a:extLst>
        </xdr:cNvPr>
        <xdr:cNvSpPr/>
      </xdr:nvSpPr>
      <xdr:spPr>
        <a:xfrm>
          <a:off x="3238500" y="239712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2-2</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158750</xdr:colOff>
      <xdr:row>11</xdr:row>
      <xdr:rowOff>31750</xdr:rowOff>
    </xdr:from>
    <xdr:to>
      <xdr:col>3</xdr:col>
      <xdr:colOff>960437</xdr:colOff>
      <xdr:row>11</xdr:row>
      <xdr:rowOff>317501</xdr:rowOff>
    </xdr:to>
    <xdr:sp macro="" textlink="">
      <xdr:nvSpPr>
        <xdr:cNvPr id="9" name="Rechteck: abgeschrägt 8">
          <a:hlinkClick xmlns:r="http://schemas.openxmlformats.org/officeDocument/2006/relationships" r:id="rId8"/>
          <a:extLst>
            <a:ext uri="{FF2B5EF4-FFF2-40B4-BE49-F238E27FC236}">
              <a16:creationId xmlns:a16="http://schemas.microsoft.com/office/drawing/2014/main" id="{DEDF2755-670A-4087-BD01-57FEF72B359C}"/>
            </a:ext>
          </a:extLst>
        </xdr:cNvPr>
        <xdr:cNvSpPr/>
      </xdr:nvSpPr>
      <xdr:spPr>
        <a:xfrm>
          <a:off x="3238500" y="273050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2-3</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150812</xdr:colOff>
      <xdr:row>13</xdr:row>
      <xdr:rowOff>23814</xdr:rowOff>
    </xdr:from>
    <xdr:to>
      <xdr:col>3</xdr:col>
      <xdr:colOff>952499</xdr:colOff>
      <xdr:row>13</xdr:row>
      <xdr:rowOff>309565</xdr:rowOff>
    </xdr:to>
    <xdr:sp macro="" textlink="">
      <xdr:nvSpPr>
        <xdr:cNvPr id="10" name="Rechteck: abgeschrägt 9">
          <a:hlinkClick xmlns:r="http://schemas.openxmlformats.org/officeDocument/2006/relationships" r:id="rId9"/>
          <a:extLst>
            <a:ext uri="{FF2B5EF4-FFF2-40B4-BE49-F238E27FC236}">
              <a16:creationId xmlns:a16="http://schemas.microsoft.com/office/drawing/2014/main" id="{30237098-03D1-4271-B5D7-9573626531C1}"/>
            </a:ext>
          </a:extLst>
        </xdr:cNvPr>
        <xdr:cNvSpPr/>
      </xdr:nvSpPr>
      <xdr:spPr>
        <a:xfrm>
          <a:off x="3230562" y="3389314"/>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3-2</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134937</xdr:colOff>
      <xdr:row>19</xdr:row>
      <xdr:rowOff>15875</xdr:rowOff>
    </xdr:from>
    <xdr:to>
      <xdr:col>3</xdr:col>
      <xdr:colOff>936624</xdr:colOff>
      <xdr:row>19</xdr:row>
      <xdr:rowOff>301626</xdr:rowOff>
    </xdr:to>
    <xdr:sp macro="" textlink="">
      <xdr:nvSpPr>
        <xdr:cNvPr id="11" name="Rechteck: abgeschrägt 10">
          <a:hlinkClick xmlns:r="http://schemas.openxmlformats.org/officeDocument/2006/relationships" r:id="rId10"/>
          <a:extLst>
            <a:ext uri="{FF2B5EF4-FFF2-40B4-BE49-F238E27FC236}">
              <a16:creationId xmlns:a16="http://schemas.microsoft.com/office/drawing/2014/main" id="{74FC91E5-4EAC-4D9B-8CDA-66D9FEEC0850}"/>
            </a:ext>
          </a:extLst>
        </xdr:cNvPr>
        <xdr:cNvSpPr/>
      </xdr:nvSpPr>
      <xdr:spPr>
        <a:xfrm>
          <a:off x="3214687" y="538162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5-2</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166688</xdr:colOff>
      <xdr:row>7</xdr:row>
      <xdr:rowOff>23813</xdr:rowOff>
    </xdr:from>
    <xdr:to>
      <xdr:col>4</xdr:col>
      <xdr:colOff>968375</xdr:colOff>
      <xdr:row>7</xdr:row>
      <xdr:rowOff>309564</xdr:rowOff>
    </xdr:to>
    <xdr:sp macro="" textlink="">
      <xdr:nvSpPr>
        <xdr:cNvPr id="12" name="Rechteck: abgeschrägt 11">
          <a:hlinkClick xmlns:r="http://schemas.openxmlformats.org/officeDocument/2006/relationships" r:id="rId11"/>
          <a:extLst>
            <a:ext uri="{FF2B5EF4-FFF2-40B4-BE49-F238E27FC236}">
              <a16:creationId xmlns:a16="http://schemas.microsoft.com/office/drawing/2014/main" id="{68E920C7-41B4-4A1A-B76F-8A65DD69B766}"/>
            </a:ext>
          </a:extLst>
        </xdr:cNvPr>
        <xdr:cNvSpPr/>
      </xdr:nvSpPr>
      <xdr:spPr>
        <a:xfrm>
          <a:off x="4341813" y="1389063"/>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1-1</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166687</xdr:colOff>
      <xdr:row>8</xdr:row>
      <xdr:rowOff>23813</xdr:rowOff>
    </xdr:from>
    <xdr:to>
      <xdr:col>4</xdr:col>
      <xdr:colOff>968374</xdr:colOff>
      <xdr:row>8</xdr:row>
      <xdr:rowOff>309564</xdr:rowOff>
    </xdr:to>
    <xdr:sp macro="" textlink="">
      <xdr:nvSpPr>
        <xdr:cNvPr id="13" name="Rechteck: abgeschrägt 12">
          <a:hlinkClick xmlns:r="http://schemas.openxmlformats.org/officeDocument/2006/relationships" r:id="rId12"/>
          <a:extLst>
            <a:ext uri="{FF2B5EF4-FFF2-40B4-BE49-F238E27FC236}">
              <a16:creationId xmlns:a16="http://schemas.microsoft.com/office/drawing/2014/main" id="{941C1F73-9096-4B1B-AB4F-7E6B61540526}"/>
            </a:ext>
          </a:extLst>
        </xdr:cNvPr>
        <xdr:cNvSpPr/>
      </xdr:nvSpPr>
      <xdr:spPr>
        <a:xfrm>
          <a:off x="4341812" y="1722438"/>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1-2</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166687</xdr:colOff>
      <xdr:row>9</xdr:row>
      <xdr:rowOff>31750</xdr:rowOff>
    </xdr:from>
    <xdr:to>
      <xdr:col>4</xdr:col>
      <xdr:colOff>968374</xdr:colOff>
      <xdr:row>9</xdr:row>
      <xdr:rowOff>317501</xdr:rowOff>
    </xdr:to>
    <xdr:sp macro="" textlink="">
      <xdr:nvSpPr>
        <xdr:cNvPr id="14" name="Rechteck: abgeschrägt 13">
          <a:hlinkClick xmlns:r="http://schemas.openxmlformats.org/officeDocument/2006/relationships" r:id="rId13"/>
          <a:extLst>
            <a:ext uri="{FF2B5EF4-FFF2-40B4-BE49-F238E27FC236}">
              <a16:creationId xmlns:a16="http://schemas.microsoft.com/office/drawing/2014/main" id="{FB692992-4B06-40BF-A07B-4694C948271C}"/>
            </a:ext>
          </a:extLst>
        </xdr:cNvPr>
        <xdr:cNvSpPr/>
      </xdr:nvSpPr>
      <xdr:spPr>
        <a:xfrm>
          <a:off x="4341812" y="206375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2-1</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166688</xdr:colOff>
      <xdr:row>10</xdr:row>
      <xdr:rowOff>31750</xdr:rowOff>
    </xdr:from>
    <xdr:to>
      <xdr:col>4</xdr:col>
      <xdr:colOff>968375</xdr:colOff>
      <xdr:row>10</xdr:row>
      <xdr:rowOff>317501</xdr:rowOff>
    </xdr:to>
    <xdr:sp macro="" textlink="">
      <xdr:nvSpPr>
        <xdr:cNvPr id="15" name="Rechteck: abgeschrägt 14">
          <a:hlinkClick xmlns:r="http://schemas.openxmlformats.org/officeDocument/2006/relationships" r:id="rId14"/>
          <a:extLst>
            <a:ext uri="{FF2B5EF4-FFF2-40B4-BE49-F238E27FC236}">
              <a16:creationId xmlns:a16="http://schemas.microsoft.com/office/drawing/2014/main" id="{DFA2B4E1-EC6F-4FD9-8D93-3DAB69F62841}"/>
            </a:ext>
          </a:extLst>
        </xdr:cNvPr>
        <xdr:cNvSpPr/>
      </xdr:nvSpPr>
      <xdr:spPr>
        <a:xfrm>
          <a:off x="4341813" y="239712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2-2</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166687</xdr:colOff>
      <xdr:row>11</xdr:row>
      <xdr:rowOff>15875</xdr:rowOff>
    </xdr:from>
    <xdr:to>
      <xdr:col>4</xdr:col>
      <xdr:colOff>968374</xdr:colOff>
      <xdr:row>11</xdr:row>
      <xdr:rowOff>301626</xdr:rowOff>
    </xdr:to>
    <xdr:sp macro="" textlink="">
      <xdr:nvSpPr>
        <xdr:cNvPr id="16" name="Rechteck: abgeschrägt 15">
          <a:hlinkClick xmlns:r="http://schemas.openxmlformats.org/officeDocument/2006/relationships" r:id="rId15"/>
          <a:extLst>
            <a:ext uri="{FF2B5EF4-FFF2-40B4-BE49-F238E27FC236}">
              <a16:creationId xmlns:a16="http://schemas.microsoft.com/office/drawing/2014/main" id="{FF0D453E-DE60-4E7D-AF82-ACFFB1288539}"/>
            </a:ext>
          </a:extLst>
        </xdr:cNvPr>
        <xdr:cNvSpPr/>
      </xdr:nvSpPr>
      <xdr:spPr>
        <a:xfrm>
          <a:off x="4341812" y="271462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2-2</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168274</xdr:colOff>
      <xdr:row>19</xdr:row>
      <xdr:rowOff>25400</xdr:rowOff>
    </xdr:from>
    <xdr:to>
      <xdr:col>4</xdr:col>
      <xdr:colOff>969961</xdr:colOff>
      <xdr:row>19</xdr:row>
      <xdr:rowOff>311151</xdr:rowOff>
    </xdr:to>
    <xdr:sp macro="" textlink="">
      <xdr:nvSpPr>
        <xdr:cNvPr id="17" name="Rechteck: abgeschrägt 16">
          <a:hlinkClick xmlns:r="http://schemas.openxmlformats.org/officeDocument/2006/relationships" r:id="rId16"/>
          <a:extLst>
            <a:ext uri="{FF2B5EF4-FFF2-40B4-BE49-F238E27FC236}">
              <a16:creationId xmlns:a16="http://schemas.microsoft.com/office/drawing/2014/main" id="{E66A9EA1-0C4E-460E-A350-48B3D760D993}"/>
            </a:ext>
          </a:extLst>
        </xdr:cNvPr>
        <xdr:cNvSpPr/>
      </xdr:nvSpPr>
      <xdr:spPr>
        <a:xfrm>
          <a:off x="4343399" y="539115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5-2</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168275</xdr:colOff>
      <xdr:row>12</xdr:row>
      <xdr:rowOff>17463</xdr:rowOff>
    </xdr:from>
    <xdr:to>
      <xdr:col>4</xdr:col>
      <xdr:colOff>969962</xdr:colOff>
      <xdr:row>12</xdr:row>
      <xdr:rowOff>303214</xdr:rowOff>
    </xdr:to>
    <xdr:sp macro="" textlink="">
      <xdr:nvSpPr>
        <xdr:cNvPr id="18" name="Rechteck: abgeschrägt 17">
          <a:hlinkClick xmlns:r="http://schemas.openxmlformats.org/officeDocument/2006/relationships" r:id="rId17"/>
          <a:extLst>
            <a:ext uri="{FF2B5EF4-FFF2-40B4-BE49-F238E27FC236}">
              <a16:creationId xmlns:a16="http://schemas.microsoft.com/office/drawing/2014/main" id="{C062B539-F5F5-4094-936D-212EBF2E3D99}"/>
            </a:ext>
          </a:extLst>
        </xdr:cNvPr>
        <xdr:cNvSpPr/>
      </xdr:nvSpPr>
      <xdr:spPr>
        <a:xfrm>
          <a:off x="4343400" y="3049588"/>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3-1</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150812</xdr:colOff>
      <xdr:row>12</xdr:row>
      <xdr:rowOff>23812</xdr:rowOff>
    </xdr:from>
    <xdr:to>
      <xdr:col>3</xdr:col>
      <xdr:colOff>952499</xdr:colOff>
      <xdr:row>12</xdr:row>
      <xdr:rowOff>309563</xdr:rowOff>
    </xdr:to>
    <xdr:sp macro="" textlink="">
      <xdr:nvSpPr>
        <xdr:cNvPr id="19" name="Rechteck: abgeschrägt 18">
          <a:hlinkClick xmlns:r="http://schemas.openxmlformats.org/officeDocument/2006/relationships" r:id="rId18"/>
          <a:extLst>
            <a:ext uri="{FF2B5EF4-FFF2-40B4-BE49-F238E27FC236}">
              <a16:creationId xmlns:a16="http://schemas.microsoft.com/office/drawing/2014/main" id="{5A9D87B6-1ED6-4E8F-95BE-EB0E99055B00}"/>
            </a:ext>
          </a:extLst>
        </xdr:cNvPr>
        <xdr:cNvSpPr/>
      </xdr:nvSpPr>
      <xdr:spPr>
        <a:xfrm>
          <a:off x="3230562" y="3055937"/>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3-1</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166687</xdr:colOff>
      <xdr:row>13</xdr:row>
      <xdr:rowOff>31750</xdr:rowOff>
    </xdr:from>
    <xdr:to>
      <xdr:col>4</xdr:col>
      <xdr:colOff>968374</xdr:colOff>
      <xdr:row>13</xdr:row>
      <xdr:rowOff>317501</xdr:rowOff>
    </xdr:to>
    <xdr:sp macro="" textlink="">
      <xdr:nvSpPr>
        <xdr:cNvPr id="20" name="Rechteck: abgeschrägt 19">
          <a:hlinkClick xmlns:r="http://schemas.openxmlformats.org/officeDocument/2006/relationships" r:id="rId19"/>
          <a:extLst>
            <a:ext uri="{FF2B5EF4-FFF2-40B4-BE49-F238E27FC236}">
              <a16:creationId xmlns:a16="http://schemas.microsoft.com/office/drawing/2014/main" id="{FBD20A40-6F91-4025-AE05-EF929261FBD4}"/>
            </a:ext>
          </a:extLst>
        </xdr:cNvPr>
        <xdr:cNvSpPr/>
      </xdr:nvSpPr>
      <xdr:spPr>
        <a:xfrm>
          <a:off x="4341812" y="339725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3-2</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150812</xdr:colOff>
      <xdr:row>14</xdr:row>
      <xdr:rowOff>31750</xdr:rowOff>
    </xdr:from>
    <xdr:to>
      <xdr:col>3</xdr:col>
      <xdr:colOff>952499</xdr:colOff>
      <xdr:row>14</xdr:row>
      <xdr:rowOff>317501</xdr:rowOff>
    </xdr:to>
    <xdr:sp macro="" textlink="">
      <xdr:nvSpPr>
        <xdr:cNvPr id="21" name="Rechteck: abgeschrägt 20">
          <a:hlinkClick xmlns:r="http://schemas.openxmlformats.org/officeDocument/2006/relationships" r:id="rId20"/>
          <a:extLst>
            <a:ext uri="{FF2B5EF4-FFF2-40B4-BE49-F238E27FC236}">
              <a16:creationId xmlns:a16="http://schemas.microsoft.com/office/drawing/2014/main" id="{044B271C-D620-46C8-A65B-721435023A14}"/>
            </a:ext>
          </a:extLst>
        </xdr:cNvPr>
        <xdr:cNvSpPr/>
      </xdr:nvSpPr>
      <xdr:spPr>
        <a:xfrm>
          <a:off x="3230562" y="373062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3-3</a:t>
          </a:r>
        </a:p>
      </xdr:txBody>
    </xdr:sp>
    <xdr:clientData/>
  </xdr:twoCellAnchor>
  <xdr:twoCellAnchor>
    <xdr:from>
      <xdr:col>3</xdr:col>
      <xdr:colOff>127000</xdr:colOff>
      <xdr:row>18</xdr:row>
      <xdr:rowOff>23813</xdr:rowOff>
    </xdr:from>
    <xdr:to>
      <xdr:col>3</xdr:col>
      <xdr:colOff>928687</xdr:colOff>
      <xdr:row>18</xdr:row>
      <xdr:rowOff>309564</xdr:rowOff>
    </xdr:to>
    <xdr:sp macro="" textlink="">
      <xdr:nvSpPr>
        <xdr:cNvPr id="22" name="Rechteck: abgeschrägt 21">
          <a:hlinkClick xmlns:r="http://schemas.openxmlformats.org/officeDocument/2006/relationships" r:id="rId21"/>
          <a:extLst>
            <a:ext uri="{FF2B5EF4-FFF2-40B4-BE49-F238E27FC236}">
              <a16:creationId xmlns:a16="http://schemas.microsoft.com/office/drawing/2014/main" id="{34FCA96E-5070-4F3B-A717-B2806E76227E}"/>
            </a:ext>
          </a:extLst>
        </xdr:cNvPr>
        <xdr:cNvSpPr/>
      </xdr:nvSpPr>
      <xdr:spPr>
        <a:xfrm>
          <a:off x="3206750" y="5056188"/>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5-1</a:t>
          </a:r>
        </a:p>
      </xdr:txBody>
    </xdr:sp>
    <xdr:clientData/>
  </xdr:twoCellAnchor>
  <xdr:twoCellAnchor>
    <xdr:from>
      <xdr:col>3</xdr:col>
      <xdr:colOff>128587</xdr:colOff>
      <xdr:row>20</xdr:row>
      <xdr:rowOff>25400</xdr:rowOff>
    </xdr:from>
    <xdr:to>
      <xdr:col>3</xdr:col>
      <xdr:colOff>930274</xdr:colOff>
      <xdr:row>20</xdr:row>
      <xdr:rowOff>311151</xdr:rowOff>
    </xdr:to>
    <xdr:sp macro="" textlink="">
      <xdr:nvSpPr>
        <xdr:cNvPr id="23" name="Rechteck: abgeschrägt 22">
          <a:hlinkClick xmlns:r="http://schemas.openxmlformats.org/officeDocument/2006/relationships" r:id="rId22"/>
          <a:extLst>
            <a:ext uri="{FF2B5EF4-FFF2-40B4-BE49-F238E27FC236}">
              <a16:creationId xmlns:a16="http://schemas.microsoft.com/office/drawing/2014/main" id="{0D532A54-F06E-4272-8ED4-14BF8CFC2A59}"/>
            </a:ext>
          </a:extLst>
        </xdr:cNvPr>
        <xdr:cNvSpPr/>
      </xdr:nvSpPr>
      <xdr:spPr>
        <a:xfrm>
          <a:off x="3208337" y="572452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5-3</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142875</xdr:colOff>
      <xdr:row>15</xdr:row>
      <xdr:rowOff>39688</xdr:rowOff>
    </xdr:from>
    <xdr:to>
      <xdr:col>3</xdr:col>
      <xdr:colOff>944562</xdr:colOff>
      <xdr:row>15</xdr:row>
      <xdr:rowOff>325439</xdr:rowOff>
    </xdr:to>
    <xdr:sp macro="" textlink="">
      <xdr:nvSpPr>
        <xdr:cNvPr id="25" name="Rechteck: abgeschrägt 24">
          <a:hlinkClick xmlns:r="http://schemas.openxmlformats.org/officeDocument/2006/relationships" r:id="rId23"/>
          <a:extLst>
            <a:ext uri="{FF2B5EF4-FFF2-40B4-BE49-F238E27FC236}">
              <a16:creationId xmlns:a16="http://schemas.microsoft.com/office/drawing/2014/main" id="{B68A9388-79D5-4159-BABC-FD1A6DCC846D}"/>
            </a:ext>
          </a:extLst>
        </xdr:cNvPr>
        <xdr:cNvSpPr/>
      </xdr:nvSpPr>
      <xdr:spPr>
        <a:xfrm>
          <a:off x="3222625" y="4071938"/>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4-1</a:t>
          </a:r>
        </a:p>
      </xdr:txBody>
    </xdr:sp>
    <xdr:clientData/>
  </xdr:twoCellAnchor>
  <xdr:twoCellAnchor>
    <xdr:from>
      <xdr:col>4</xdr:col>
      <xdr:colOff>158750</xdr:colOff>
      <xdr:row>15</xdr:row>
      <xdr:rowOff>47625</xdr:rowOff>
    </xdr:from>
    <xdr:to>
      <xdr:col>4</xdr:col>
      <xdr:colOff>960437</xdr:colOff>
      <xdr:row>16</xdr:row>
      <xdr:rowOff>1</xdr:rowOff>
    </xdr:to>
    <xdr:sp macro="" textlink="">
      <xdr:nvSpPr>
        <xdr:cNvPr id="26" name="Rechteck: abgeschrägt 25">
          <a:hlinkClick xmlns:r="http://schemas.openxmlformats.org/officeDocument/2006/relationships" r:id="rId24"/>
          <a:extLst>
            <a:ext uri="{FF2B5EF4-FFF2-40B4-BE49-F238E27FC236}">
              <a16:creationId xmlns:a16="http://schemas.microsoft.com/office/drawing/2014/main" id="{CCE44543-92D6-429D-AA01-8B3100D8D5ED}"/>
            </a:ext>
          </a:extLst>
        </xdr:cNvPr>
        <xdr:cNvSpPr/>
      </xdr:nvSpPr>
      <xdr:spPr>
        <a:xfrm>
          <a:off x="4333875" y="4079875"/>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4-1</a:t>
          </a:r>
        </a:p>
      </xdr:txBody>
    </xdr:sp>
    <xdr:clientData/>
  </xdr:twoCellAnchor>
  <xdr:twoCellAnchor>
    <xdr:from>
      <xdr:col>4</xdr:col>
      <xdr:colOff>166687</xdr:colOff>
      <xdr:row>18</xdr:row>
      <xdr:rowOff>23813</xdr:rowOff>
    </xdr:from>
    <xdr:to>
      <xdr:col>4</xdr:col>
      <xdr:colOff>968374</xdr:colOff>
      <xdr:row>18</xdr:row>
      <xdr:rowOff>309564</xdr:rowOff>
    </xdr:to>
    <xdr:sp macro="" textlink="">
      <xdr:nvSpPr>
        <xdr:cNvPr id="24" name="Rechteck: abgeschrägt 23">
          <a:hlinkClick xmlns:r="http://schemas.openxmlformats.org/officeDocument/2006/relationships" r:id="rId25"/>
          <a:extLst>
            <a:ext uri="{FF2B5EF4-FFF2-40B4-BE49-F238E27FC236}">
              <a16:creationId xmlns:a16="http://schemas.microsoft.com/office/drawing/2014/main" id="{F4EE2C4E-303F-4A33-98F1-23481831406E}"/>
            </a:ext>
          </a:extLst>
        </xdr:cNvPr>
        <xdr:cNvSpPr/>
      </xdr:nvSpPr>
      <xdr:spPr>
        <a:xfrm>
          <a:off x="4341812" y="5056188"/>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5-1</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142876</xdr:colOff>
      <xdr:row>16</xdr:row>
      <xdr:rowOff>39688</xdr:rowOff>
    </xdr:from>
    <xdr:to>
      <xdr:col>3</xdr:col>
      <xdr:colOff>944563</xdr:colOff>
      <xdr:row>16</xdr:row>
      <xdr:rowOff>325439</xdr:rowOff>
    </xdr:to>
    <xdr:sp macro="" textlink="">
      <xdr:nvSpPr>
        <xdr:cNvPr id="27" name="Rechteck: abgeschrägt 26">
          <a:hlinkClick xmlns:r="http://schemas.openxmlformats.org/officeDocument/2006/relationships" r:id="rId26"/>
          <a:extLst>
            <a:ext uri="{FF2B5EF4-FFF2-40B4-BE49-F238E27FC236}">
              <a16:creationId xmlns:a16="http://schemas.microsoft.com/office/drawing/2014/main" id="{A12CD8E6-5E3B-4F08-9A27-680ACE4A3E56}"/>
            </a:ext>
          </a:extLst>
        </xdr:cNvPr>
        <xdr:cNvSpPr/>
      </xdr:nvSpPr>
      <xdr:spPr>
        <a:xfrm>
          <a:off x="3222626" y="4405313"/>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4-2</a:t>
          </a:r>
        </a:p>
      </xdr:txBody>
    </xdr:sp>
    <xdr:clientData/>
  </xdr:twoCellAnchor>
  <xdr:twoCellAnchor>
    <xdr:from>
      <xdr:col>4</xdr:col>
      <xdr:colOff>158750</xdr:colOff>
      <xdr:row>16</xdr:row>
      <xdr:rowOff>47625</xdr:rowOff>
    </xdr:from>
    <xdr:to>
      <xdr:col>4</xdr:col>
      <xdr:colOff>960437</xdr:colOff>
      <xdr:row>17</xdr:row>
      <xdr:rowOff>1</xdr:rowOff>
    </xdr:to>
    <xdr:sp macro="" textlink="">
      <xdr:nvSpPr>
        <xdr:cNvPr id="28" name="Rechteck: abgeschrägt 27">
          <a:hlinkClick xmlns:r="http://schemas.openxmlformats.org/officeDocument/2006/relationships" r:id="rId27"/>
          <a:extLst>
            <a:ext uri="{FF2B5EF4-FFF2-40B4-BE49-F238E27FC236}">
              <a16:creationId xmlns:a16="http://schemas.microsoft.com/office/drawing/2014/main" id="{9407F6D2-0C1F-4481-9105-FDB8726F828B}"/>
            </a:ext>
          </a:extLst>
        </xdr:cNvPr>
        <xdr:cNvSpPr/>
      </xdr:nvSpPr>
      <xdr:spPr>
        <a:xfrm>
          <a:off x="4333875" y="441325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4-2</a:t>
          </a:r>
          <a:endParaRPr lang="de-DE" sz="1000" b="0">
            <a:latin typeface="Arial" panose="020B0604020202020204" pitchFamily="34" charset="0"/>
            <a:cs typeface="Arial" panose="020B0604020202020204" pitchFamily="34" charset="0"/>
          </a:endParaRPr>
        </a:p>
      </xdr:txBody>
    </xdr:sp>
    <xdr:clientData/>
  </xdr:twoCellAnchor>
  <xdr:twoCellAnchor>
    <xdr:from>
      <xdr:col>3</xdr:col>
      <xdr:colOff>134937</xdr:colOff>
      <xdr:row>17</xdr:row>
      <xdr:rowOff>31750</xdr:rowOff>
    </xdr:from>
    <xdr:to>
      <xdr:col>3</xdr:col>
      <xdr:colOff>936624</xdr:colOff>
      <xdr:row>17</xdr:row>
      <xdr:rowOff>317501</xdr:rowOff>
    </xdr:to>
    <xdr:sp macro="" textlink="">
      <xdr:nvSpPr>
        <xdr:cNvPr id="29" name="Rechteck: abgeschrägt 28">
          <a:hlinkClick xmlns:r="http://schemas.openxmlformats.org/officeDocument/2006/relationships" r:id="rId28"/>
          <a:extLst>
            <a:ext uri="{FF2B5EF4-FFF2-40B4-BE49-F238E27FC236}">
              <a16:creationId xmlns:a16="http://schemas.microsoft.com/office/drawing/2014/main" id="{F5ED27B2-53E7-48DD-9B14-002FB116585C}"/>
            </a:ext>
          </a:extLst>
        </xdr:cNvPr>
        <xdr:cNvSpPr/>
      </xdr:nvSpPr>
      <xdr:spPr>
        <a:xfrm>
          <a:off x="3214687" y="473075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FOR 4-3</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166688</xdr:colOff>
      <xdr:row>17</xdr:row>
      <xdr:rowOff>39687</xdr:rowOff>
    </xdr:from>
    <xdr:to>
      <xdr:col>4</xdr:col>
      <xdr:colOff>968375</xdr:colOff>
      <xdr:row>17</xdr:row>
      <xdr:rowOff>325438</xdr:rowOff>
    </xdr:to>
    <xdr:sp macro="" textlink="">
      <xdr:nvSpPr>
        <xdr:cNvPr id="30" name="Rechteck: abgeschrägt 29">
          <a:hlinkClick xmlns:r="http://schemas.openxmlformats.org/officeDocument/2006/relationships" r:id="rId29"/>
          <a:extLst>
            <a:ext uri="{FF2B5EF4-FFF2-40B4-BE49-F238E27FC236}">
              <a16:creationId xmlns:a16="http://schemas.microsoft.com/office/drawing/2014/main" id="{550DB2F9-2AD4-489E-87DF-72D105D6C6B6}"/>
            </a:ext>
          </a:extLst>
        </xdr:cNvPr>
        <xdr:cNvSpPr/>
      </xdr:nvSpPr>
      <xdr:spPr>
        <a:xfrm>
          <a:off x="4341813" y="4738687"/>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4-3</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166687</xdr:colOff>
      <xdr:row>20</xdr:row>
      <xdr:rowOff>23812</xdr:rowOff>
    </xdr:from>
    <xdr:to>
      <xdr:col>4</xdr:col>
      <xdr:colOff>968374</xdr:colOff>
      <xdr:row>20</xdr:row>
      <xdr:rowOff>309563</xdr:rowOff>
    </xdr:to>
    <xdr:sp macro="" textlink="">
      <xdr:nvSpPr>
        <xdr:cNvPr id="31" name="Rechteck: abgeschrägt 30">
          <a:hlinkClick xmlns:r="http://schemas.openxmlformats.org/officeDocument/2006/relationships" r:id="rId30"/>
          <a:extLst>
            <a:ext uri="{FF2B5EF4-FFF2-40B4-BE49-F238E27FC236}">
              <a16:creationId xmlns:a16="http://schemas.microsoft.com/office/drawing/2014/main" id="{4AA641D5-DC4A-4BAC-B53F-0DA2C98AA2FC}"/>
            </a:ext>
          </a:extLst>
        </xdr:cNvPr>
        <xdr:cNvSpPr/>
      </xdr:nvSpPr>
      <xdr:spPr>
        <a:xfrm>
          <a:off x="4341812" y="5842000"/>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5-3</a:t>
          </a:r>
          <a:endParaRPr lang="de-DE" sz="1000" b="0">
            <a:latin typeface="Arial" panose="020B0604020202020204" pitchFamily="34" charset="0"/>
            <a:cs typeface="Arial" panose="020B0604020202020204" pitchFamily="34" charset="0"/>
          </a:endParaRPr>
        </a:p>
      </xdr:txBody>
    </xdr:sp>
    <xdr:clientData/>
  </xdr:twoCellAnchor>
  <xdr:twoCellAnchor>
    <xdr:from>
      <xdr:col>4</xdr:col>
      <xdr:colOff>158750</xdr:colOff>
      <xdr:row>14</xdr:row>
      <xdr:rowOff>39688</xdr:rowOff>
    </xdr:from>
    <xdr:to>
      <xdr:col>4</xdr:col>
      <xdr:colOff>960437</xdr:colOff>
      <xdr:row>14</xdr:row>
      <xdr:rowOff>325439</xdr:rowOff>
    </xdr:to>
    <xdr:sp macro="" textlink="">
      <xdr:nvSpPr>
        <xdr:cNvPr id="32" name="Rechteck: abgeschrägt 31">
          <a:hlinkClick xmlns:r="http://schemas.openxmlformats.org/officeDocument/2006/relationships" r:id="rId31"/>
          <a:extLst>
            <a:ext uri="{FF2B5EF4-FFF2-40B4-BE49-F238E27FC236}">
              <a16:creationId xmlns:a16="http://schemas.microsoft.com/office/drawing/2014/main" id="{683223EC-8824-4F73-9127-F40CAAB65662}"/>
            </a:ext>
          </a:extLst>
        </xdr:cNvPr>
        <xdr:cNvSpPr/>
      </xdr:nvSpPr>
      <xdr:spPr>
        <a:xfrm>
          <a:off x="4333875" y="3857626"/>
          <a:ext cx="801687" cy="28575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b="0">
              <a:latin typeface="Arial" panose="020B0604020202020204" pitchFamily="34" charset="0"/>
              <a:cs typeface="Arial" panose="020B0604020202020204" pitchFamily="34" charset="0"/>
            </a:rPr>
            <a:t>BSP 3-3</a:t>
          </a:r>
        </a:p>
      </xdr:txBody>
    </xdr:sp>
    <xdr:clientData/>
  </xdr:twoCellAnchor>
  <xdr:twoCellAnchor>
    <xdr:from>
      <xdr:col>6</xdr:col>
      <xdr:colOff>206375</xdr:colOff>
      <xdr:row>6</xdr:row>
      <xdr:rowOff>71439</xdr:rowOff>
    </xdr:from>
    <xdr:to>
      <xdr:col>15</xdr:col>
      <xdr:colOff>634660</xdr:colOff>
      <xdr:row>17</xdr:row>
      <xdr:rowOff>261938</xdr:rowOff>
    </xdr:to>
    <xdr:grpSp>
      <xdr:nvGrpSpPr>
        <xdr:cNvPr id="620" name="Gruppieren 619">
          <a:extLst>
            <a:ext uri="{FF2B5EF4-FFF2-40B4-BE49-F238E27FC236}">
              <a16:creationId xmlns:a16="http://schemas.microsoft.com/office/drawing/2014/main" id="{1227BCB4-EDA7-DAE9-B9B1-E98981609366}"/>
            </a:ext>
          </a:extLst>
        </xdr:cNvPr>
        <xdr:cNvGrpSpPr/>
      </xdr:nvGrpSpPr>
      <xdr:grpSpPr>
        <a:xfrm>
          <a:off x="5940425" y="1195389"/>
          <a:ext cx="7638710" cy="3752849"/>
          <a:chOff x="557104" y="1162074"/>
          <a:chExt cx="8000660" cy="4024175"/>
        </a:xfrm>
      </xdr:grpSpPr>
      <xdr:sp macro="" textlink="">
        <xdr:nvSpPr>
          <xdr:cNvPr id="621" name="Rechteck 620">
            <a:extLst>
              <a:ext uri="{FF2B5EF4-FFF2-40B4-BE49-F238E27FC236}">
                <a16:creationId xmlns:a16="http://schemas.microsoft.com/office/drawing/2014/main" id="{BB147D2D-6ED0-B8E6-8DB0-8366BDD15CD3}"/>
              </a:ext>
            </a:extLst>
          </xdr:cNvPr>
          <xdr:cNvSpPr/>
        </xdr:nvSpPr>
        <xdr:spPr>
          <a:xfrm>
            <a:off x="5356052" y="2064330"/>
            <a:ext cx="1492451" cy="3112372"/>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grpSp>
        <xdr:nvGrpSpPr>
          <xdr:cNvPr id="622" name="Gruppieren 621">
            <a:extLst>
              <a:ext uri="{FF2B5EF4-FFF2-40B4-BE49-F238E27FC236}">
                <a16:creationId xmlns:a16="http://schemas.microsoft.com/office/drawing/2014/main" id="{D0732AB8-2BE4-5646-B062-2F3E517B4F5A}"/>
              </a:ext>
            </a:extLst>
          </xdr:cNvPr>
          <xdr:cNvGrpSpPr/>
        </xdr:nvGrpSpPr>
        <xdr:grpSpPr>
          <a:xfrm>
            <a:off x="557104" y="1442755"/>
            <a:ext cx="1614551" cy="630500"/>
            <a:chOff x="560879" y="2227000"/>
            <a:chExt cx="1501920" cy="630500"/>
          </a:xfrm>
          <a:solidFill>
            <a:srgbClr val="6DBFA9">
              <a:lumMod val="40000"/>
              <a:lumOff val="60000"/>
            </a:srgbClr>
          </a:solidFill>
        </xdr:grpSpPr>
        <xdr:sp macro="" textlink="">
          <xdr:nvSpPr>
            <xdr:cNvPr id="690" name="Pfeil: Chevron 689">
              <a:extLst>
                <a:ext uri="{FF2B5EF4-FFF2-40B4-BE49-F238E27FC236}">
                  <a16:creationId xmlns:a16="http://schemas.microsoft.com/office/drawing/2014/main" id="{6BA135A7-5FCC-1E87-32C3-07A79C415C63}"/>
                </a:ext>
              </a:extLst>
            </xdr:cNvPr>
            <xdr:cNvSpPr/>
          </xdr:nvSpPr>
          <xdr:spPr>
            <a:xfrm>
              <a:off x="560879" y="2227000"/>
              <a:ext cx="1501920" cy="630500"/>
            </a:xfrm>
            <a:prstGeom prst="chevron">
              <a:avLst>
                <a:gd name="adj" fmla="val 17806"/>
              </a:avLst>
            </a:prstGeom>
            <a:grpFill/>
            <a:ln w="9525" cap="flat" cmpd="sng" algn="ctr">
              <a:noFill/>
              <a:prstDash val="solid"/>
            </a:ln>
            <a:effectLst/>
          </xdr:spPr>
          <xdr:txBody>
            <a:bodyPr wrap="square" rtlCol="0" anchor="ct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endParaRPr kumimoji="0" lang="de-DE" sz="2400" b="1" i="0" u="none" strike="noStrike" kern="0" cap="none" spc="0" normalizeH="0" baseline="0">
                <a:ln>
                  <a:noFill/>
                </a:ln>
                <a:solidFill>
                  <a:srgbClr val="003D92">
                    <a:lumMod val="75000"/>
                  </a:srgbClr>
                </a:solidFill>
                <a:effectLst/>
                <a:uLnTx/>
                <a:uFillTx/>
                <a:latin typeface="Arial"/>
                <a:ea typeface="ＭＳ Ｐゴシック" charset="-128"/>
              </a:endParaRPr>
            </a:p>
          </xdr:txBody>
        </xdr:sp>
        <xdr:sp macro="" textlink="">
          <xdr:nvSpPr>
            <xdr:cNvPr id="691" name="Textfeld 5">
              <a:extLst>
                <a:ext uri="{FF2B5EF4-FFF2-40B4-BE49-F238E27FC236}">
                  <a16:creationId xmlns:a16="http://schemas.microsoft.com/office/drawing/2014/main" id="{46DC8D11-08ED-FA48-C7BB-BF7690C25AA0}"/>
                </a:ext>
              </a:extLst>
            </xdr:cNvPr>
            <xdr:cNvSpPr txBox="1"/>
          </xdr:nvSpPr>
          <xdr:spPr>
            <a:xfrm>
              <a:off x="693780" y="2326496"/>
              <a:ext cx="1255437" cy="430887"/>
            </a:xfrm>
            <a:prstGeom prst="rect">
              <a:avLst/>
            </a:prstGeom>
            <a:grpFill/>
            <a:ln>
              <a:noFill/>
            </a:ln>
            <a:effectLst/>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a:ln>
                    <a:noFill/>
                  </a:ln>
                  <a:solidFill>
                    <a:srgbClr val="003D92">
                      <a:lumMod val="75000"/>
                    </a:srgbClr>
                  </a:solidFill>
                  <a:effectLst/>
                  <a:uLnTx/>
                  <a:uFillTx/>
                  <a:latin typeface="Arial" charset="0"/>
                  <a:ea typeface="ＭＳ Ｐゴシック" charset="-128"/>
                </a:rPr>
                <a:t>Initiierung &amp; Zielfestlegung</a:t>
              </a:r>
            </a:p>
          </xdr:txBody>
        </xdr:sp>
      </xdr:grpSp>
      <xdr:grpSp>
        <xdr:nvGrpSpPr>
          <xdr:cNvPr id="623" name="Gruppieren 622">
            <a:extLst>
              <a:ext uri="{FF2B5EF4-FFF2-40B4-BE49-F238E27FC236}">
                <a16:creationId xmlns:a16="http://schemas.microsoft.com/office/drawing/2014/main" id="{E76C20AC-12DE-55E2-AA39-4A3BAE592A14}"/>
              </a:ext>
            </a:extLst>
          </xdr:cNvPr>
          <xdr:cNvGrpSpPr/>
        </xdr:nvGrpSpPr>
        <xdr:grpSpPr>
          <a:xfrm>
            <a:off x="2156643" y="1442444"/>
            <a:ext cx="1614551" cy="630500"/>
            <a:chOff x="560879" y="2227000"/>
            <a:chExt cx="1501920" cy="630500"/>
          </a:xfrm>
          <a:solidFill>
            <a:srgbClr val="6DBFA9">
              <a:lumMod val="40000"/>
              <a:lumOff val="60000"/>
            </a:srgbClr>
          </a:solidFill>
        </xdr:grpSpPr>
        <xdr:sp macro="" textlink="">
          <xdr:nvSpPr>
            <xdr:cNvPr id="688" name="Pfeil: Chevron 687">
              <a:extLst>
                <a:ext uri="{FF2B5EF4-FFF2-40B4-BE49-F238E27FC236}">
                  <a16:creationId xmlns:a16="http://schemas.microsoft.com/office/drawing/2014/main" id="{5434C722-0D5F-0E2B-A8CB-03E13C74E9F0}"/>
                </a:ext>
              </a:extLst>
            </xdr:cNvPr>
            <xdr:cNvSpPr/>
          </xdr:nvSpPr>
          <xdr:spPr>
            <a:xfrm>
              <a:off x="560879" y="2227000"/>
              <a:ext cx="1501920" cy="630500"/>
            </a:xfrm>
            <a:prstGeom prst="chevron">
              <a:avLst>
                <a:gd name="adj" fmla="val 17806"/>
              </a:avLst>
            </a:prstGeom>
            <a:grpFill/>
            <a:ln w="9525" cap="flat" cmpd="sng" algn="ctr">
              <a:noFill/>
              <a:prstDash val="solid"/>
            </a:ln>
            <a:effectLst/>
          </xdr:spPr>
          <xdr:txBody>
            <a:bodyPr wrap="square" rtlCol="0" anchor="ct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endParaRPr kumimoji="0" lang="de-DE" sz="2400" b="1" i="0" u="none" strike="noStrike" kern="0" cap="none" spc="0" normalizeH="0" baseline="0">
                <a:ln>
                  <a:noFill/>
                </a:ln>
                <a:solidFill>
                  <a:srgbClr val="003D92">
                    <a:lumMod val="75000"/>
                  </a:srgbClr>
                </a:solidFill>
                <a:effectLst/>
                <a:uLnTx/>
                <a:uFillTx/>
                <a:latin typeface="Arial"/>
                <a:ea typeface="ＭＳ Ｐゴシック" charset="-128"/>
              </a:endParaRPr>
            </a:p>
          </xdr:txBody>
        </xdr:sp>
        <xdr:sp macro="" textlink="">
          <xdr:nvSpPr>
            <xdr:cNvPr id="689" name="Textfeld 22">
              <a:extLst>
                <a:ext uri="{FF2B5EF4-FFF2-40B4-BE49-F238E27FC236}">
                  <a16:creationId xmlns:a16="http://schemas.microsoft.com/office/drawing/2014/main" id="{4258C212-498F-AA28-8796-5B95D98F90EA}"/>
                </a:ext>
              </a:extLst>
            </xdr:cNvPr>
            <xdr:cNvSpPr txBox="1"/>
          </xdr:nvSpPr>
          <xdr:spPr>
            <a:xfrm>
              <a:off x="693780" y="2326496"/>
              <a:ext cx="1255437" cy="430887"/>
            </a:xfrm>
            <a:prstGeom prst="rect">
              <a:avLst/>
            </a:prstGeom>
            <a:grpFill/>
            <a:ln>
              <a:noFill/>
            </a:ln>
            <a:effectLst/>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a:ln>
                    <a:noFill/>
                  </a:ln>
                  <a:solidFill>
                    <a:srgbClr val="003D92">
                      <a:lumMod val="75000"/>
                    </a:srgbClr>
                  </a:solidFill>
                  <a:effectLst/>
                  <a:uLnTx/>
                  <a:uFillTx/>
                  <a:latin typeface="Arial" charset="0"/>
                  <a:ea typeface="ＭＳ Ｐゴシック" charset="-128"/>
                </a:rPr>
                <a:t>Identifizierung &amp; Auswahl</a:t>
              </a:r>
            </a:p>
          </xdr:txBody>
        </xdr:sp>
      </xdr:grpSp>
      <xdr:grpSp>
        <xdr:nvGrpSpPr>
          <xdr:cNvPr id="624" name="Gruppieren 623">
            <a:extLst>
              <a:ext uri="{FF2B5EF4-FFF2-40B4-BE49-F238E27FC236}">
                <a16:creationId xmlns:a16="http://schemas.microsoft.com/office/drawing/2014/main" id="{344BEC46-CD2E-3A1D-0285-9CB2E5EA66B2}"/>
              </a:ext>
            </a:extLst>
          </xdr:cNvPr>
          <xdr:cNvGrpSpPr/>
        </xdr:nvGrpSpPr>
        <xdr:grpSpPr>
          <a:xfrm>
            <a:off x="3758311" y="1442133"/>
            <a:ext cx="1614551" cy="630500"/>
            <a:chOff x="560879" y="2227000"/>
            <a:chExt cx="1501920" cy="630500"/>
          </a:xfrm>
          <a:solidFill>
            <a:srgbClr val="6DBFA9">
              <a:lumMod val="40000"/>
              <a:lumOff val="60000"/>
            </a:srgbClr>
          </a:solidFill>
        </xdr:grpSpPr>
        <xdr:sp macro="" textlink="">
          <xdr:nvSpPr>
            <xdr:cNvPr id="686" name="Pfeil: Chevron 685">
              <a:extLst>
                <a:ext uri="{FF2B5EF4-FFF2-40B4-BE49-F238E27FC236}">
                  <a16:creationId xmlns:a16="http://schemas.microsoft.com/office/drawing/2014/main" id="{8F5060B6-D399-5F7B-9C13-AC6749F4B817}"/>
                </a:ext>
              </a:extLst>
            </xdr:cNvPr>
            <xdr:cNvSpPr/>
          </xdr:nvSpPr>
          <xdr:spPr>
            <a:xfrm>
              <a:off x="560879" y="2227000"/>
              <a:ext cx="1501920" cy="630500"/>
            </a:xfrm>
            <a:prstGeom prst="chevron">
              <a:avLst>
                <a:gd name="adj" fmla="val 17806"/>
              </a:avLst>
            </a:prstGeom>
            <a:grpFill/>
            <a:ln w="9525" cap="flat" cmpd="sng" algn="ctr">
              <a:noFill/>
              <a:prstDash val="solid"/>
            </a:ln>
            <a:effectLst/>
          </xdr:spPr>
          <xdr:txBody>
            <a:bodyPr wrap="square" rtlCol="0" anchor="ct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endParaRPr kumimoji="0" lang="de-DE" sz="2400" b="1" i="0" u="none" strike="noStrike" kern="0" cap="none" spc="0" normalizeH="0" baseline="0">
                <a:ln>
                  <a:noFill/>
                </a:ln>
                <a:solidFill>
                  <a:srgbClr val="003D92">
                    <a:lumMod val="75000"/>
                  </a:srgbClr>
                </a:solidFill>
                <a:effectLst/>
                <a:uLnTx/>
                <a:uFillTx/>
                <a:latin typeface="Arial"/>
                <a:ea typeface="ＭＳ Ｐゴシック" charset="-128"/>
              </a:endParaRPr>
            </a:p>
          </xdr:txBody>
        </xdr:sp>
        <xdr:sp macro="" textlink="">
          <xdr:nvSpPr>
            <xdr:cNvPr id="687" name="Textfeld 41">
              <a:extLst>
                <a:ext uri="{FF2B5EF4-FFF2-40B4-BE49-F238E27FC236}">
                  <a16:creationId xmlns:a16="http://schemas.microsoft.com/office/drawing/2014/main" id="{C6208037-9680-39B7-24C4-6ACFFB48219D}"/>
                </a:ext>
              </a:extLst>
            </xdr:cNvPr>
            <xdr:cNvSpPr txBox="1"/>
          </xdr:nvSpPr>
          <xdr:spPr>
            <a:xfrm>
              <a:off x="693780" y="2326496"/>
              <a:ext cx="1255437" cy="430887"/>
            </a:xfrm>
            <a:prstGeom prst="rect">
              <a:avLst/>
            </a:prstGeom>
            <a:grpFill/>
            <a:ln>
              <a:noFill/>
            </a:ln>
            <a:effectLst/>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a:ln>
                    <a:noFill/>
                  </a:ln>
                  <a:solidFill>
                    <a:srgbClr val="003D92">
                      <a:lumMod val="75000"/>
                    </a:srgbClr>
                  </a:solidFill>
                  <a:effectLst/>
                  <a:uLnTx/>
                  <a:uFillTx/>
                  <a:latin typeface="Arial" charset="0"/>
                  <a:ea typeface="ＭＳ Ｐゴシック" charset="-128"/>
                </a:rPr>
                <a:t>Analyse &amp; Planung</a:t>
              </a:r>
            </a:p>
          </xdr:txBody>
        </xdr:sp>
      </xdr:grpSp>
      <xdr:grpSp>
        <xdr:nvGrpSpPr>
          <xdr:cNvPr id="625" name="Gruppieren 624">
            <a:extLst>
              <a:ext uri="{FF2B5EF4-FFF2-40B4-BE49-F238E27FC236}">
                <a16:creationId xmlns:a16="http://schemas.microsoft.com/office/drawing/2014/main" id="{57317CBF-B02D-5BEB-A7CF-E8F221DAE2C3}"/>
              </a:ext>
            </a:extLst>
          </xdr:cNvPr>
          <xdr:cNvGrpSpPr/>
        </xdr:nvGrpSpPr>
        <xdr:grpSpPr>
          <a:xfrm>
            <a:off x="5357850" y="1443377"/>
            <a:ext cx="1614551" cy="630500"/>
            <a:chOff x="560879" y="2227000"/>
            <a:chExt cx="1501920" cy="630500"/>
          </a:xfrm>
          <a:solidFill>
            <a:srgbClr val="6DBFA9">
              <a:lumMod val="40000"/>
              <a:lumOff val="60000"/>
            </a:srgbClr>
          </a:solidFill>
        </xdr:grpSpPr>
        <xdr:sp macro="" textlink="">
          <xdr:nvSpPr>
            <xdr:cNvPr id="684" name="Pfeil: Chevron 683">
              <a:extLst>
                <a:ext uri="{FF2B5EF4-FFF2-40B4-BE49-F238E27FC236}">
                  <a16:creationId xmlns:a16="http://schemas.microsoft.com/office/drawing/2014/main" id="{64711336-E12F-8341-FA9D-90B1BF6FD1B8}"/>
                </a:ext>
              </a:extLst>
            </xdr:cNvPr>
            <xdr:cNvSpPr/>
          </xdr:nvSpPr>
          <xdr:spPr>
            <a:xfrm>
              <a:off x="560879" y="2227000"/>
              <a:ext cx="1501920" cy="630500"/>
            </a:xfrm>
            <a:prstGeom prst="chevron">
              <a:avLst>
                <a:gd name="adj" fmla="val 17806"/>
              </a:avLst>
            </a:prstGeom>
            <a:grpFill/>
            <a:ln w="9525" cap="flat" cmpd="sng" algn="ctr">
              <a:noFill/>
              <a:prstDash val="solid"/>
            </a:ln>
            <a:effectLst/>
          </xdr:spPr>
          <xdr:txBody>
            <a:bodyPr wrap="square" rtlCol="0" anchor="ct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endParaRPr kumimoji="0" lang="de-DE" sz="2400" b="1" i="0" u="none" strike="noStrike" kern="0" cap="none" spc="0" normalizeH="0" baseline="0">
                <a:ln>
                  <a:noFill/>
                </a:ln>
                <a:solidFill>
                  <a:srgbClr val="003D92">
                    <a:lumMod val="75000"/>
                  </a:srgbClr>
                </a:solidFill>
                <a:effectLst/>
                <a:uLnTx/>
                <a:uFillTx/>
                <a:latin typeface="Arial"/>
                <a:ea typeface="ＭＳ Ｐゴシック" charset="-128"/>
              </a:endParaRPr>
            </a:p>
          </xdr:txBody>
        </xdr:sp>
        <xdr:sp macro="" textlink="">
          <xdr:nvSpPr>
            <xdr:cNvPr id="685" name="Textfeld 44">
              <a:extLst>
                <a:ext uri="{FF2B5EF4-FFF2-40B4-BE49-F238E27FC236}">
                  <a16:creationId xmlns:a16="http://schemas.microsoft.com/office/drawing/2014/main" id="{DBA31FBF-A921-31FC-B0C5-062A763F3943}"/>
                </a:ext>
              </a:extLst>
            </xdr:cNvPr>
            <xdr:cNvSpPr txBox="1"/>
          </xdr:nvSpPr>
          <xdr:spPr>
            <a:xfrm>
              <a:off x="693780" y="2326496"/>
              <a:ext cx="1255437" cy="430887"/>
            </a:xfrm>
            <a:prstGeom prst="rect">
              <a:avLst/>
            </a:prstGeom>
            <a:grpFill/>
            <a:ln>
              <a:noFill/>
            </a:ln>
            <a:effectLst/>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a:ln>
                    <a:noFill/>
                  </a:ln>
                  <a:solidFill>
                    <a:srgbClr val="003D92">
                      <a:lumMod val="75000"/>
                    </a:srgbClr>
                  </a:solidFill>
                  <a:effectLst/>
                  <a:uLnTx/>
                  <a:uFillTx/>
                  <a:latin typeface="Arial" charset="0"/>
                  <a:ea typeface="ＭＳ Ｐゴシック" charset="-128"/>
                </a:rPr>
                <a:t>Realisierung &amp; </a:t>
              </a:r>
              <a:r>
                <a:rPr lang="de-DE" sz="1400" b="1" kern="0">
                  <a:solidFill>
                    <a:srgbClr val="003D92">
                      <a:lumMod val="75000"/>
                    </a:srgbClr>
                  </a:solidFill>
                </a:rPr>
                <a:t>Einführung</a:t>
              </a:r>
              <a:endParaRPr kumimoji="0" lang="de-DE" sz="1400" b="1" i="0" u="none" strike="noStrike" kern="0" cap="none" spc="0" normalizeH="0" baseline="0">
                <a:ln>
                  <a:noFill/>
                </a:ln>
                <a:solidFill>
                  <a:srgbClr val="003D92">
                    <a:lumMod val="75000"/>
                  </a:srgbClr>
                </a:solidFill>
                <a:effectLst/>
                <a:uLnTx/>
                <a:uFillTx/>
                <a:latin typeface="Arial" charset="0"/>
                <a:ea typeface="ＭＳ Ｐゴシック" charset="-128"/>
              </a:endParaRPr>
            </a:p>
          </xdr:txBody>
        </xdr:sp>
      </xdr:grpSp>
      <xdr:grpSp>
        <xdr:nvGrpSpPr>
          <xdr:cNvPr id="626" name="Gruppieren 625">
            <a:extLst>
              <a:ext uri="{FF2B5EF4-FFF2-40B4-BE49-F238E27FC236}">
                <a16:creationId xmlns:a16="http://schemas.microsoft.com/office/drawing/2014/main" id="{1B466B74-A974-5FAD-A455-F011CEFDFF12}"/>
              </a:ext>
            </a:extLst>
          </xdr:cNvPr>
          <xdr:cNvGrpSpPr/>
        </xdr:nvGrpSpPr>
        <xdr:grpSpPr>
          <a:xfrm>
            <a:off x="6943213" y="1443066"/>
            <a:ext cx="1614551" cy="630500"/>
            <a:chOff x="560879" y="2227000"/>
            <a:chExt cx="1501920" cy="630500"/>
          </a:xfrm>
          <a:solidFill>
            <a:srgbClr val="6DBFA9">
              <a:lumMod val="40000"/>
              <a:lumOff val="60000"/>
            </a:srgbClr>
          </a:solidFill>
        </xdr:grpSpPr>
        <xdr:sp macro="" textlink="">
          <xdr:nvSpPr>
            <xdr:cNvPr id="682" name="Pfeil: Chevron 681">
              <a:extLst>
                <a:ext uri="{FF2B5EF4-FFF2-40B4-BE49-F238E27FC236}">
                  <a16:creationId xmlns:a16="http://schemas.microsoft.com/office/drawing/2014/main" id="{1BC569EB-2C41-561A-1C5B-17FDE8327B2E}"/>
                </a:ext>
              </a:extLst>
            </xdr:cNvPr>
            <xdr:cNvSpPr/>
          </xdr:nvSpPr>
          <xdr:spPr>
            <a:xfrm>
              <a:off x="560879" y="2227000"/>
              <a:ext cx="1501920" cy="630500"/>
            </a:xfrm>
            <a:prstGeom prst="chevron">
              <a:avLst>
                <a:gd name="adj" fmla="val 17806"/>
              </a:avLst>
            </a:prstGeom>
            <a:grpFill/>
            <a:ln w="9525" cap="flat" cmpd="sng" algn="ctr">
              <a:noFill/>
              <a:prstDash val="solid"/>
            </a:ln>
            <a:effectLst/>
          </xdr:spPr>
          <xdr:txBody>
            <a:bodyPr wrap="square" rtlCol="0" anchor="ct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endParaRPr kumimoji="0" lang="de-DE" sz="2400" b="1" i="0" u="none" strike="noStrike" kern="0" cap="none" spc="0" normalizeH="0" baseline="0">
                <a:ln>
                  <a:noFill/>
                </a:ln>
                <a:solidFill>
                  <a:srgbClr val="003D92">
                    <a:lumMod val="75000"/>
                  </a:srgbClr>
                </a:solidFill>
                <a:effectLst/>
                <a:uLnTx/>
                <a:uFillTx/>
                <a:latin typeface="Arial"/>
                <a:ea typeface="ＭＳ Ｐゴシック" charset="-128"/>
              </a:endParaRPr>
            </a:p>
          </xdr:txBody>
        </xdr:sp>
        <xdr:sp macro="" textlink="">
          <xdr:nvSpPr>
            <xdr:cNvPr id="683" name="Textfeld 47">
              <a:extLst>
                <a:ext uri="{FF2B5EF4-FFF2-40B4-BE49-F238E27FC236}">
                  <a16:creationId xmlns:a16="http://schemas.microsoft.com/office/drawing/2014/main" id="{E848DDB1-C2C6-2BA3-867C-4468709C6C5F}"/>
                </a:ext>
              </a:extLst>
            </xdr:cNvPr>
            <xdr:cNvSpPr txBox="1"/>
          </xdr:nvSpPr>
          <xdr:spPr>
            <a:xfrm>
              <a:off x="693780" y="2326496"/>
              <a:ext cx="1255437" cy="430887"/>
            </a:xfrm>
            <a:prstGeom prst="rect">
              <a:avLst/>
            </a:prstGeom>
            <a:grpFill/>
            <a:ln>
              <a:noFill/>
            </a:ln>
            <a:effectLst/>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marL="0" marR="0" lvl="0" indent="0" algn="ctr" defTabSz="4572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a:ln>
                    <a:noFill/>
                  </a:ln>
                  <a:solidFill>
                    <a:srgbClr val="003D92">
                      <a:lumMod val="75000"/>
                    </a:srgbClr>
                  </a:solidFill>
                  <a:effectLst/>
                  <a:uLnTx/>
                  <a:uFillTx/>
                  <a:latin typeface="Arial" charset="0"/>
                  <a:ea typeface="ＭＳ Ｐゴシック" charset="-128"/>
                </a:rPr>
                <a:t>Prüfung &amp; Entscheidung</a:t>
              </a:r>
            </a:p>
          </xdr:txBody>
        </xdr:sp>
      </xdr:grpSp>
      <xdr:sp macro="" textlink="">
        <xdr:nvSpPr>
          <xdr:cNvPr id="627" name="Rechteck 626">
            <a:extLst>
              <a:ext uri="{FF2B5EF4-FFF2-40B4-BE49-F238E27FC236}">
                <a16:creationId xmlns:a16="http://schemas.microsoft.com/office/drawing/2014/main" id="{88461F97-C8FD-AFD5-07D8-0F0094E7D324}"/>
              </a:ext>
            </a:extLst>
          </xdr:cNvPr>
          <xdr:cNvSpPr/>
        </xdr:nvSpPr>
        <xdr:spPr>
          <a:xfrm>
            <a:off x="557104" y="2072633"/>
            <a:ext cx="1492451" cy="3113616"/>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sp macro="" textlink="">
        <xdr:nvSpPr>
          <xdr:cNvPr id="628" name="Rechteck 627">
            <a:extLst>
              <a:ext uri="{FF2B5EF4-FFF2-40B4-BE49-F238E27FC236}">
                <a16:creationId xmlns:a16="http://schemas.microsoft.com/office/drawing/2014/main" id="{F058E5BA-0E26-3E8B-093D-A581CBB2C7BD}"/>
              </a:ext>
            </a:extLst>
          </xdr:cNvPr>
          <xdr:cNvSpPr/>
        </xdr:nvSpPr>
        <xdr:spPr>
          <a:xfrm>
            <a:off x="2152973" y="2064330"/>
            <a:ext cx="1492451" cy="3121919"/>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sp macro="" textlink="">
        <xdr:nvSpPr>
          <xdr:cNvPr id="629" name="Rechteck 628">
            <a:extLst>
              <a:ext uri="{FF2B5EF4-FFF2-40B4-BE49-F238E27FC236}">
                <a16:creationId xmlns:a16="http://schemas.microsoft.com/office/drawing/2014/main" id="{A5F24A19-11EE-6BB2-EA29-EB5AC6F5D97A}"/>
              </a:ext>
            </a:extLst>
          </xdr:cNvPr>
          <xdr:cNvSpPr/>
        </xdr:nvSpPr>
        <xdr:spPr>
          <a:xfrm>
            <a:off x="3761981" y="2072012"/>
            <a:ext cx="1492451" cy="3112372"/>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sp macro="" textlink="">
        <xdr:nvSpPr>
          <xdr:cNvPr id="630" name="Rechteck 629">
            <a:extLst>
              <a:ext uri="{FF2B5EF4-FFF2-40B4-BE49-F238E27FC236}">
                <a16:creationId xmlns:a16="http://schemas.microsoft.com/office/drawing/2014/main" id="{A913464B-3482-7A94-1305-001311867EA8}"/>
              </a:ext>
            </a:extLst>
          </xdr:cNvPr>
          <xdr:cNvSpPr/>
        </xdr:nvSpPr>
        <xdr:spPr>
          <a:xfrm>
            <a:off x="6952682" y="2067480"/>
            <a:ext cx="1492451" cy="3109222"/>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sp macro="" textlink="">
        <xdr:nvSpPr>
          <xdr:cNvPr id="631" name="Rechteck 630">
            <a:extLst>
              <a:ext uri="{FF2B5EF4-FFF2-40B4-BE49-F238E27FC236}">
                <a16:creationId xmlns:a16="http://schemas.microsoft.com/office/drawing/2014/main" id="{1947870D-C03F-BFEB-C52E-D06579689814}"/>
              </a:ext>
            </a:extLst>
          </xdr:cNvPr>
          <xdr:cNvSpPr/>
        </xdr:nvSpPr>
        <xdr:spPr>
          <a:xfrm>
            <a:off x="557104" y="1164969"/>
            <a:ext cx="1492451" cy="282954"/>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r>
              <a:rPr lang="de-DE" b="1">
                <a:solidFill>
                  <a:srgbClr val="003D92">
                    <a:lumMod val="75000"/>
                  </a:srgbClr>
                </a:solidFill>
              </a:rPr>
              <a:t>1</a:t>
            </a:r>
          </a:p>
        </xdr:txBody>
      </xdr:sp>
      <xdr:sp macro="" textlink="">
        <xdr:nvSpPr>
          <xdr:cNvPr id="632" name="Rechteck 631">
            <a:extLst>
              <a:ext uri="{FF2B5EF4-FFF2-40B4-BE49-F238E27FC236}">
                <a16:creationId xmlns:a16="http://schemas.microsoft.com/office/drawing/2014/main" id="{C637426F-EEA2-A980-8582-F6331D494B44}"/>
              </a:ext>
            </a:extLst>
          </xdr:cNvPr>
          <xdr:cNvSpPr/>
        </xdr:nvSpPr>
        <xdr:spPr>
          <a:xfrm>
            <a:off x="2159908" y="1162074"/>
            <a:ext cx="1492451" cy="282954"/>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r>
              <a:rPr lang="de-DE" b="1">
                <a:solidFill>
                  <a:srgbClr val="003D92">
                    <a:lumMod val="75000"/>
                  </a:srgbClr>
                </a:solidFill>
              </a:rPr>
              <a:t>2</a:t>
            </a:r>
          </a:p>
        </xdr:txBody>
      </xdr:sp>
      <xdr:sp macro="" textlink="">
        <xdr:nvSpPr>
          <xdr:cNvPr id="633" name="Rechteck 632">
            <a:extLst>
              <a:ext uri="{FF2B5EF4-FFF2-40B4-BE49-F238E27FC236}">
                <a16:creationId xmlns:a16="http://schemas.microsoft.com/office/drawing/2014/main" id="{6C64FDBB-028E-1E4B-528C-7ED0C3F349E2}"/>
              </a:ext>
            </a:extLst>
          </xdr:cNvPr>
          <xdr:cNvSpPr/>
        </xdr:nvSpPr>
        <xdr:spPr>
          <a:xfrm>
            <a:off x="3765505" y="1164453"/>
            <a:ext cx="1492451" cy="282954"/>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r>
              <a:rPr lang="de-DE" b="1">
                <a:solidFill>
                  <a:srgbClr val="003D92">
                    <a:lumMod val="75000"/>
                  </a:srgbClr>
                </a:solidFill>
              </a:rPr>
              <a:t>3</a:t>
            </a:r>
          </a:p>
        </xdr:txBody>
      </xdr:sp>
      <xdr:sp macro="" textlink="">
        <xdr:nvSpPr>
          <xdr:cNvPr id="634" name="Rechteck 633">
            <a:extLst>
              <a:ext uri="{FF2B5EF4-FFF2-40B4-BE49-F238E27FC236}">
                <a16:creationId xmlns:a16="http://schemas.microsoft.com/office/drawing/2014/main" id="{CF8871FA-BCFE-3550-7E25-AD78F1A05E79}"/>
              </a:ext>
            </a:extLst>
          </xdr:cNvPr>
          <xdr:cNvSpPr/>
        </xdr:nvSpPr>
        <xdr:spPr>
          <a:xfrm>
            <a:off x="5356879" y="1162522"/>
            <a:ext cx="1492451" cy="282954"/>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r>
              <a:rPr lang="de-DE" b="1">
                <a:solidFill>
                  <a:srgbClr val="003D92">
                    <a:lumMod val="75000"/>
                  </a:srgbClr>
                </a:solidFill>
              </a:rPr>
              <a:t>4</a:t>
            </a:r>
          </a:p>
        </xdr:txBody>
      </xdr:sp>
      <xdr:sp macro="" textlink="">
        <xdr:nvSpPr>
          <xdr:cNvPr id="635" name="Rechteck 634">
            <a:extLst>
              <a:ext uri="{FF2B5EF4-FFF2-40B4-BE49-F238E27FC236}">
                <a16:creationId xmlns:a16="http://schemas.microsoft.com/office/drawing/2014/main" id="{56CC60BC-BE5E-6D21-FAC7-98DFC8D2B3D3}"/>
              </a:ext>
            </a:extLst>
          </xdr:cNvPr>
          <xdr:cNvSpPr/>
        </xdr:nvSpPr>
        <xdr:spPr>
          <a:xfrm>
            <a:off x="6942242" y="1163450"/>
            <a:ext cx="1492451" cy="282954"/>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r>
              <a:rPr lang="de-DE" b="1">
                <a:solidFill>
                  <a:srgbClr val="003D92">
                    <a:lumMod val="75000"/>
                  </a:srgbClr>
                </a:solidFill>
              </a:rPr>
              <a:t>5</a:t>
            </a:r>
          </a:p>
        </xdr:txBody>
      </xdr:sp>
      <xdr:grpSp>
        <xdr:nvGrpSpPr>
          <xdr:cNvPr id="636" name="Gruppieren 635">
            <a:extLst>
              <a:ext uri="{FF2B5EF4-FFF2-40B4-BE49-F238E27FC236}">
                <a16:creationId xmlns:a16="http://schemas.microsoft.com/office/drawing/2014/main" id="{781BBF6E-0476-9347-BDAE-7AB0921EC438}"/>
              </a:ext>
            </a:extLst>
          </xdr:cNvPr>
          <xdr:cNvGrpSpPr/>
        </xdr:nvGrpSpPr>
        <xdr:grpSpPr>
          <a:xfrm>
            <a:off x="597975" y="2126184"/>
            <a:ext cx="1405336" cy="2988666"/>
            <a:chOff x="876065" y="2131651"/>
            <a:chExt cx="1405336" cy="2988666"/>
          </a:xfrm>
        </xdr:grpSpPr>
        <xdr:grpSp>
          <xdr:nvGrpSpPr>
            <xdr:cNvPr id="672" name="Gruppieren 671">
              <a:extLst>
                <a:ext uri="{FF2B5EF4-FFF2-40B4-BE49-F238E27FC236}">
                  <a16:creationId xmlns:a16="http://schemas.microsoft.com/office/drawing/2014/main" id="{09F89167-BB0B-1299-506E-CB28D9E08570}"/>
                </a:ext>
              </a:extLst>
            </xdr:cNvPr>
            <xdr:cNvGrpSpPr/>
          </xdr:nvGrpSpPr>
          <xdr:grpSpPr>
            <a:xfrm>
              <a:off x="1186994" y="2131651"/>
              <a:ext cx="901150" cy="820558"/>
              <a:chOff x="525021" y="3348892"/>
              <a:chExt cx="1293956" cy="1177784"/>
            </a:xfrm>
          </xdr:grpSpPr>
          <xdr:grpSp>
            <xdr:nvGrpSpPr>
              <xdr:cNvPr id="678" name="Gruppieren 677">
                <a:extLst>
                  <a:ext uri="{FF2B5EF4-FFF2-40B4-BE49-F238E27FC236}">
                    <a16:creationId xmlns:a16="http://schemas.microsoft.com/office/drawing/2014/main" id="{E1431BC7-EAFA-334C-1602-70BD4D127DD2}"/>
                  </a:ext>
                </a:extLst>
              </xdr:cNvPr>
              <xdr:cNvGrpSpPr/>
            </xdr:nvGrpSpPr>
            <xdr:grpSpPr>
              <a:xfrm>
                <a:off x="904577" y="3348892"/>
                <a:ext cx="914400" cy="914400"/>
                <a:chOff x="904577" y="2961816"/>
                <a:chExt cx="914400" cy="914400"/>
              </a:xfrm>
              <a:solidFill>
                <a:srgbClr val="002060"/>
              </a:solidFill>
            </xdr:grpSpPr>
            <xdr:pic>
              <xdr:nvPicPr>
                <xdr:cNvPr id="680" name="Grafik 679" descr="Person mit Idee mit einfarbiger Füllung">
                  <a:extLst>
                    <a:ext uri="{FF2B5EF4-FFF2-40B4-BE49-F238E27FC236}">
                      <a16:creationId xmlns:a16="http://schemas.microsoft.com/office/drawing/2014/main" id="{8698FB94-BD72-7866-F50F-A53CAA645992}"/>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904577" y="2961816"/>
                  <a:ext cx="914400" cy="914400"/>
                </a:xfrm>
                <a:prstGeom prst="rect">
                  <a:avLst/>
                </a:prstGeom>
              </xdr:spPr>
            </xdr:pic>
            <xdr:sp macro="" textlink="">
              <xdr:nvSpPr>
                <xdr:cNvPr id="681" name="Rechteck 680">
                  <a:extLst>
                    <a:ext uri="{FF2B5EF4-FFF2-40B4-BE49-F238E27FC236}">
                      <a16:creationId xmlns:a16="http://schemas.microsoft.com/office/drawing/2014/main" id="{6660B567-C494-7D40-5D8D-84638103FE87}"/>
                    </a:ext>
                  </a:extLst>
                </xdr:cNvPr>
                <xdr:cNvSpPr/>
              </xdr:nvSpPr>
              <xdr:spPr>
                <a:xfrm>
                  <a:off x="982220" y="3612274"/>
                  <a:ext cx="457200" cy="193818"/>
                </a:xfrm>
                <a:prstGeom prst="rect">
                  <a:avLst/>
                </a:prstGeom>
                <a:solidFill>
                  <a:srgbClr val="FFFFFE"/>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grpSp>
          <xdr:pic>
            <xdr:nvPicPr>
              <xdr:cNvPr id="679" name="Grafik 678" descr="Benutzer mit einfarbiger Füllung">
                <a:extLst>
                  <a:ext uri="{FF2B5EF4-FFF2-40B4-BE49-F238E27FC236}">
                    <a16:creationId xmlns:a16="http://schemas.microsoft.com/office/drawing/2014/main" id="{CB5C546C-BA7C-DF23-8EB9-18516AB60FC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25021" y="3612274"/>
                <a:ext cx="914400" cy="914402"/>
              </a:xfrm>
              <a:prstGeom prst="rect">
                <a:avLst/>
              </a:prstGeom>
            </xdr:spPr>
          </xdr:pic>
        </xdr:grpSp>
        <xdr:sp macro="" textlink="">
          <xdr:nvSpPr>
            <xdr:cNvPr id="673" name="Textfeld 20">
              <a:extLst>
                <a:ext uri="{FF2B5EF4-FFF2-40B4-BE49-F238E27FC236}">
                  <a16:creationId xmlns:a16="http://schemas.microsoft.com/office/drawing/2014/main" id="{0837B4E5-C03B-E793-5C3E-DADD51D8A598}"/>
                </a:ext>
              </a:extLst>
            </xdr:cNvPr>
            <xdr:cNvSpPr txBox="1"/>
          </xdr:nvSpPr>
          <xdr:spPr>
            <a:xfrm>
              <a:off x="876065" y="2854870"/>
              <a:ext cx="1357293"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KI-Bedarf</a:t>
              </a:r>
            </a:p>
          </xdr:txBody>
        </xdr:sp>
        <xdr:pic>
          <xdr:nvPicPr>
            <xdr:cNvPr id="674" name="Grafik 673" descr="Route zwei Stecknadeln mit Weg mit einfarbiger Füllung">
              <a:extLst>
                <a:ext uri="{FF2B5EF4-FFF2-40B4-BE49-F238E27FC236}">
                  <a16:creationId xmlns:a16="http://schemas.microsoft.com/office/drawing/2014/main" id="{49F4D596-BAD2-73BB-1F83-8ABEB1F3D33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75170" y="3165873"/>
              <a:ext cx="759143" cy="696653"/>
            </a:xfrm>
            <a:prstGeom prst="rect">
              <a:avLst/>
            </a:prstGeom>
          </xdr:spPr>
        </xdr:pic>
        <xdr:sp macro="" textlink="">
          <xdr:nvSpPr>
            <xdr:cNvPr id="675" name="Textfeld 25">
              <a:extLst>
                <a:ext uri="{FF2B5EF4-FFF2-40B4-BE49-F238E27FC236}">
                  <a16:creationId xmlns:a16="http://schemas.microsoft.com/office/drawing/2014/main" id="{6B954094-1E8C-94FC-33EA-898919CEB976}"/>
                </a:ext>
              </a:extLst>
            </xdr:cNvPr>
            <xdr:cNvSpPr txBox="1"/>
          </xdr:nvSpPr>
          <xdr:spPr>
            <a:xfrm>
              <a:off x="893063" y="3862527"/>
              <a:ext cx="1388338"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KI-Ansatz</a:t>
              </a:r>
            </a:p>
          </xdr:txBody>
        </xdr:sp>
        <xdr:pic>
          <xdr:nvPicPr>
            <xdr:cNvPr id="676" name="Grafik 675" descr="Volltreffer mit einfarbiger Füllung">
              <a:extLst>
                <a:ext uri="{FF2B5EF4-FFF2-40B4-BE49-F238E27FC236}">
                  <a16:creationId xmlns:a16="http://schemas.microsoft.com/office/drawing/2014/main" id="{9FC60861-2B62-90D2-A931-69735763F47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253014" y="4183370"/>
              <a:ext cx="694162" cy="694162"/>
            </a:xfrm>
            <a:prstGeom prst="rect">
              <a:avLst/>
            </a:prstGeom>
          </xdr:spPr>
        </xdr:pic>
        <xdr:sp macro="" textlink="">
          <xdr:nvSpPr>
            <xdr:cNvPr id="677" name="Textfeld 27">
              <a:extLst>
                <a:ext uri="{FF2B5EF4-FFF2-40B4-BE49-F238E27FC236}">
                  <a16:creationId xmlns:a16="http://schemas.microsoft.com/office/drawing/2014/main" id="{27E40465-15B6-74FB-4AE1-88A17B9E076C}"/>
                </a:ext>
              </a:extLst>
            </xdr:cNvPr>
            <xdr:cNvSpPr txBox="1"/>
          </xdr:nvSpPr>
          <xdr:spPr>
            <a:xfrm>
              <a:off x="876065" y="4904873"/>
              <a:ext cx="1388338"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KI-Ziele</a:t>
              </a:r>
            </a:p>
          </xdr:txBody>
        </xdr:sp>
      </xdr:grpSp>
      <xdr:grpSp>
        <xdr:nvGrpSpPr>
          <xdr:cNvPr id="637" name="Gruppieren 636">
            <a:extLst>
              <a:ext uri="{FF2B5EF4-FFF2-40B4-BE49-F238E27FC236}">
                <a16:creationId xmlns:a16="http://schemas.microsoft.com/office/drawing/2014/main" id="{1E64E22C-8346-FE1F-79CF-0D2AEDB221F8}"/>
              </a:ext>
            </a:extLst>
          </xdr:cNvPr>
          <xdr:cNvGrpSpPr/>
        </xdr:nvGrpSpPr>
        <xdr:grpSpPr>
          <a:xfrm>
            <a:off x="2195916" y="2177752"/>
            <a:ext cx="1395273" cy="2928609"/>
            <a:chOff x="2344350" y="2191708"/>
            <a:chExt cx="1395273" cy="2928609"/>
          </a:xfrm>
        </xdr:grpSpPr>
        <xdr:pic>
          <xdr:nvPicPr>
            <xdr:cNvPr id="664" name="Grafik 663" descr="Liste mit einfarbiger Füllung">
              <a:extLst>
                <a:ext uri="{FF2B5EF4-FFF2-40B4-BE49-F238E27FC236}">
                  <a16:creationId xmlns:a16="http://schemas.microsoft.com/office/drawing/2014/main" id="{37B0CAF0-D545-9196-7D58-86F1E216805B}"/>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2694270" y="2191708"/>
              <a:ext cx="699550" cy="663162"/>
            </a:xfrm>
            <a:prstGeom prst="rect">
              <a:avLst/>
            </a:prstGeom>
          </xdr:spPr>
        </xdr:pic>
        <xdr:sp macro="" textlink="">
          <xdr:nvSpPr>
            <xdr:cNvPr id="665" name="Textfeld 35">
              <a:extLst>
                <a:ext uri="{FF2B5EF4-FFF2-40B4-BE49-F238E27FC236}">
                  <a16:creationId xmlns:a16="http://schemas.microsoft.com/office/drawing/2014/main" id="{71325CCD-F716-1DC7-ED49-F5067F023370}"/>
                </a:ext>
              </a:extLst>
            </xdr:cNvPr>
            <xdr:cNvSpPr txBox="1"/>
          </xdr:nvSpPr>
          <xdr:spPr>
            <a:xfrm>
              <a:off x="2351284" y="2865009"/>
              <a:ext cx="1381403"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KI-Möglichkeiten</a:t>
              </a:r>
            </a:p>
          </xdr:txBody>
        </xdr:sp>
        <xdr:pic>
          <xdr:nvPicPr>
            <xdr:cNvPr id="666" name="Grafik 665" descr="Messgerät mit einfarbiger Füllung">
              <a:extLst>
                <a:ext uri="{FF2B5EF4-FFF2-40B4-BE49-F238E27FC236}">
                  <a16:creationId xmlns:a16="http://schemas.microsoft.com/office/drawing/2014/main" id="{66D91203-C1B6-BA1C-F5D7-C799AE22436C}"/>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2651455" y="3093130"/>
              <a:ext cx="742365" cy="770884"/>
            </a:xfrm>
            <a:prstGeom prst="rect">
              <a:avLst/>
            </a:prstGeom>
          </xdr:spPr>
        </xdr:pic>
        <xdr:sp macro="" textlink="">
          <xdr:nvSpPr>
            <xdr:cNvPr id="667" name="Textfeld 37">
              <a:extLst>
                <a:ext uri="{FF2B5EF4-FFF2-40B4-BE49-F238E27FC236}">
                  <a16:creationId xmlns:a16="http://schemas.microsoft.com/office/drawing/2014/main" id="{15ACE396-A934-8B83-9710-73EF15DB9C7D}"/>
                </a:ext>
              </a:extLst>
            </xdr:cNvPr>
            <xdr:cNvSpPr txBox="1"/>
          </xdr:nvSpPr>
          <xdr:spPr>
            <a:xfrm>
              <a:off x="2351285" y="3871898"/>
              <a:ext cx="1388338"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KI-Potenziale</a:t>
              </a:r>
            </a:p>
          </xdr:txBody>
        </xdr:sp>
        <xdr:grpSp>
          <xdr:nvGrpSpPr>
            <xdr:cNvPr id="668" name="Gruppieren 667">
              <a:extLst>
                <a:ext uri="{FF2B5EF4-FFF2-40B4-BE49-F238E27FC236}">
                  <a16:creationId xmlns:a16="http://schemas.microsoft.com/office/drawing/2014/main" id="{5449B773-B6AE-9BBA-A153-1556868240A7}"/>
                </a:ext>
              </a:extLst>
            </xdr:cNvPr>
            <xdr:cNvGrpSpPr/>
          </xdr:nvGrpSpPr>
          <xdr:grpSpPr>
            <a:xfrm>
              <a:off x="2627128" y="4149281"/>
              <a:ext cx="791018" cy="762339"/>
              <a:chOff x="4959840" y="1328523"/>
              <a:chExt cx="815729" cy="815729"/>
            </a:xfrm>
          </xdr:grpSpPr>
          <xdr:pic>
            <xdr:nvPicPr>
              <xdr:cNvPr id="670" name="Grafik 669" descr="Klemmbrett abgehakt mit einfarbiger Füllung">
                <a:extLst>
                  <a:ext uri="{FF2B5EF4-FFF2-40B4-BE49-F238E27FC236}">
                    <a16:creationId xmlns:a16="http://schemas.microsoft.com/office/drawing/2014/main" id="{D25F5B8B-C752-A752-5ADE-8992F3E6CD79}"/>
                  </a:ext>
                </a:extLst>
              </xdr:cNvPr>
              <xdr:cNvPicPr>
                <a:picLocks noChangeAspect="1"/>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4959840" y="1328523"/>
                <a:ext cx="815729" cy="815729"/>
              </a:xfrm>
              <a:prstGeom prst="rect">
                <a:avLst/>
              </a:prstGeom>
            </xdr:spPr>
          </xdr:pic>
          <xdr:sp macro="" textlink="">
            <xdr:nvSpPr>
              <xdr:cNvPr id="671" name="Rechteck 670">
                <a:extLst>
                  <a:ext uri="{FF2B5EF4-FFF2-40B4-BE49-F238E27FC236}">
                    <a16:creationId xmlns:a16="http://schemas.microsoft.com/office/drawing/2014/main" id="{0AF6B069-D58E-1640-558B-50039384F50E}"/>
                  </a:ext>
                </a:extLst>
              </xdr:cNvPr>
              <xdr:cNvSpPr/>
            </xdr:nvSpPr>
            <xdr:spPr>
              <a:xfrm>
                <a:off x="5366244" y="1781907"/>
                <a:ext cx="182679" cy="239323"/>
              </a:xfrm>
              <a:prstGeom prst="rect">
                <a:avLst/>
              </a:prstGeom>
              <a:solidFill>
                <a:srgbClr val="6DBFA9">
                  <a:lumMod val="20000"/>
                  <a:lumOff val="80000"/>
                </a:srgbClr>
              </a:solidFill>
              <a:ln w="9525" cap="flat" cmpd="sng" algn="ctr">
                <a:noFill/>
                <a:prstDash val="solid"/>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de-DE"/>
                </a:defPPr>
                <a:lvl1pPr algn="l" defTabSz="356616" rtl="0" fontAlgn="base">
                  <a:spcBef>
                    <a:spcPct val="0"/>
                  </a:spcBef>
                  <a:spcAft>
                    <a:spcPct val="0"/>
                  </a:spcAft>
                  <a:defRPr sz="1872" kern="1200">
                    <a:solidFill>
                      <a:srgbClr val="FFFFFE"/>
                    </a:solidFill>
                    <a:latin typeface="Arial"/>
                  </a:defRPr>
                </a:lvl1pPr>
                <a:lvl2pPr marL="356616" algn="l" defTabSz="356616" rtl="0" fontAlgn="base">
                  <a:spcBef>
                    <a:spcPct val="0"/>
                  </a:spcBef>
                  <a:spcAft>
                    <a:spcPct val="0"/>
                  </a:spcAft>
                  <a:defRPr sz="1872" kern="1200">
                    <a:solidFill>
                      <a:srgbClr val="FFFFFE"/>
                    </a:solidFill>
                    <a:latin typeface="Arial"/>
                  </a:defRPr>
                </a:lvl2pPr>
                <a:lvl3pPr marL="713232" algn="l" defTabSz="356616" rtl="0" fontAlgn="base">
                  <a:spcBef>
                    <a:spcPct val="0"/>
                  </a:spcBef>
                  <a:spcAft>
                    <a:spcPct val="0"/>
                  </a:spcAft>
                  <a:defRPr sz="1872" kern="1200">
                    <a:solidFill>
                      <a:srgbClr val="FFFFFE"/>
                    </a:solidFill>
                    <a:latin typeface="Arial"/>
                  </a:defRPr>
                </a:lvl3pPr>
                <a:lvl4pPr marL="1069848" algn="l" defTabSz="356616" rtl="0" fontAlgn="base">
                  <a:spcBef>
                    <a:spcPct val="0"/>
                  </a:spcBef>
                  <a:spcAft>
                    <a:spcPct val="0"/>
                  </a:spcAft>
                  <a:defRPr sz="1872" kern="1200">
                    <a:solidFill>
                      <a:srgbClr val="FFFFFE"/>
                    </a:solidFill>
                    <a:latin typeface="Arial"/>
                  </a:defRPr>
                </a:lvl4pPr>
                <a:lvl5pPr marL="1426464" algn="l" defTabSz="356616" rtl="0" fontAlgn="base">
                  <a:spcBef>
                    <a:spcPct val="0"/>
                  </a:spcBef>
                  <a:spcAft>
                    <a:spcPct val="0"/>
                  </a:spcAft>
                  <a:defRPr sz="1872" kern="1200">
                    <a:solidFill>
                      <a:srgbClr val="FFFFFE"/>
                    </a:solidFill>
                    <a:latin typeface="Arial"/>
                  </a:defRPr>
                </a:lvl5pPr>
                <a:lvl6pPr marL="1783080" algn="l" defTabSz="356616" rtl="0" eaLnBrk="1" latinLnBrk="0" hangingPunct="1">
                  <a:defRPr sz="1872" kern="1200">
                    <a:solidFill>
                      <a:srgbClr val="FFFFFE"/>
                    </a:solidFill>
                    <a:latin typeface="Arial"/>
                  </a:defRPr>
                </a:lvl6pPr>
                <a:lvl7pPr marL="2139696" algn="l" defTabSz="356616" rtl="0" eaLnBrk="1" latinLnBrk="0" hangingPunct="1">
                  <a:defRPr sz="1872" kern="1200">
                    <a:solidFill>
                      <a:srgbClr val="FFFFFE"/>
                    </a:solidFill>
                    <a:latin typeface="Arial"/>
                  </a:defRPr>
                </a:lvl7pPr>
                <a:lvl8pPr marL="2496312" algn="l" defTabSz="356616" rtl="0" eaLnBrk="1" latinLnBrk="0" hangingPunct="1">
                  <a:defRPr sz="1872" kern="1200">
                    <a:solidFill>
                      <a:srgbClr val="FFFFFE"/>
                    </a:solidFill>
                    <a:latin typeface="Arial"/>
                  </a:defRPr>
                </a:lvl8pPr>
                <a:lvl9pPr marL="2852928" algn="l" defTabSz="356616" rtl="0" eaLnBrk="1" latinLnBrk="0" hangingPunct="1">
                  <a:defRPr sz="1872" kern="1200">
                    <a:solidFill>
                      <a:srgbClr val="FFFFFE"/>
                    </a:solidFill>
                    <a:latin typeface="Arial"/>
                  </a:defRPr>
                </a:lvl9pPr>
              </a:lstStyle>
              <a:p>
                <a:pPr algn="ctr"/>
                <a:endParaRPr lang="de-DE"/>
              </a:p>
            </xdr:txBody>
          </xdr:sp>
        </xdr:grpSp>
        <xdr:sp macro="" textlink="">
          <xdr:nvSpPr>
            <xdr:cNvPr id="669" name="Textfeld 39">
              <a:extLst>
                <a:ext uri="{FF2B5EF4-FFF2-40B4-BE49-F238E27FC236}">
                  <a16:creationId xmlns:a16="http://schemas.microsoft.com/office/drawing/2014/main" id="{DA84C9F0-689E-5A93-A4CD-AE17C79E4328}"/>
                </a:ext>
              </a:extLst>
            </xdr:cNvPr>
            <xdr:cNvSpPr txBox="1"/>
          </xdr:nvSpPr>
          <xdr:spPr>
            <a:xfrm>
              <a:off x="2344350" y="4904873"/>
              <a:ext cx="1388338"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KI-Auswahl</a:t>
              </a:r>
            </a:p>
          </xdr:txBody>
        </xdr:sp>
      </xdr:grpSp>
      <xdr:grpSp>
        <xdr:nvGrpSpPr>
          <xdr:cNvPr id="638" name="Gruppieren 637">
            <a:extLst>
              <a:ext uri="{FF2B5EF4-FFF2-40B4-BE49-F238E27FC236}">
                <a16:creationId xmlns:a16="http://schemas.microsoft.com/office/drawing/2014/main" id="{199ACE6F-DBDC-3163-459E-87339C974E8B}"/>
              </a:ext>
            </a:extLst>
          </xdr:cNvPr>
          <xdr:cNvGrpSpPr/>
        </xdr:nvGrpSpPr>
        <xdr:grpSpPr>
          <a:xfrm>
            <a:off x="3829298" y="2077563"/>
            <a:ext cx="1388338" cy="3033348"/>
            <a:chOff x="3829298" y="2077563"/>
            <a:chExt cx="1388338" cy="3033348"/>
          </a:xfrm>
        </xdr:grpSpPr>
        <xdr:sp macro="" textlink="">
          <xdr:nvSpPr>
            <xdr:cNvPr id="656" name="Textfeld 50">
              <a:extLst>
                <a:ext uri="{FF2B5EF4-FFF2-40B4-BE49-F238E27FC236}">
                  <a16:creationId xmlns:a16="http://schemas.microsoft.com/office/drawing/2014/main" id="{6F0FBC58-BEBE-BF8C-2136-2624F8DD161D}"/>
                </a:ext>
              </a:extLst>
            </xdr:cNvPr>
            <xdr:cNvSpPr txBox="1"/>
          </xdr:nvSpPr>
          <xdr:spPr>
            <a:xfrm>
              <a:off x="3849940" y="2865799"/>
              <a:ext cx="1360502"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KI-Anforderung</a:t>
              </a:r>
            </a:p>
          </xdr:txBody>
        </xdr:sp>
        <xdr:pic>
          <xdr:nvPicPr>
            <xdr:cNvPr id="657" name="Grafik 656" descr="Blog mit einfarbiger Füllung">
              <a:extLst>
                <a:ext uri="{FF2B5EF4-FFF2-40B4-BE49-F238E27FC236}">
                  <a16:creationId xmlns:a16="http://schemas.microsoft.com/office/drawing/2014/main" id="{746A2302-5CD0-DFAC-D9AF-EF95DCED7005}"/>
                </a:ext>
              </a:extLst>
            </xdr:cNvPr>
            <xdr:cNvPicPr>
              <a:picLocks noChangeAspect="1"/>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4086998" y="2077563"/>
              <a:ext cx="865890" cy="865890"/>
            </a:xfrm>
            <a:prstGeom prst="rect">
              <a:avLst/>
            </a:prstGeom>
          </xdr:spPr>
        </xdr:pic>
        <xdr:grpSp>
          <xdr:nvGrpSpPr>
            <xdr:cNvPr id="658" name="Gruppieren 657">
              <a:extLst>
                <a:ext uri="{FF2B5EF4-FFF2-40B4-BE49-F238E27FC236}">
                  <a16:creationId xmlns:a16="http://schemas.microsoft.com/office/drawing/2014/main" id="{F541CF0F-4110-9AB4-AC3D-3AF9548438DC}"/>
                </a:ext>
              </a:extLst>
            </xdr:cNvPr>
            <xdr:cNvGrpSpPr/>
          </xdr:nvGrpSpPr>
          <xdr:grpSpPr>
            <a:xfrm>
              <a:off x="4019216" y="3125005"/>
              <a:ext cx="992009" cy="802226"/>
              <a:chOff x="894938" y="2612085"/>
              <a:chExt cx="1087344" cy="914400"/>
            </a:xfrm>
          </xdr:grpSpPr>
          <xdr:pic>
            <xdr:nvPicPr>
              <xdr:cNvPr id="662" name="Grafik 661" descr="Streudiagramm mit einfarbiger Füllung">
                <a:extLst>
                  <a:ext uri="{FF2B5EF4-FFF2-40B4-BE49-F238E27FC236}">
                    <a16:creationId xmlns:a16="http://schemas.microsoft.com/office/drawing/2014/main" id="{D03C3593-6000-CA2B-2E04-41B32DB52B3B}"/>
                  </a:ext>
                </a:extLst>
              </xdr:cNvPr>
              <xdr:cNvPicPr>
                <a:picLocks noChangeAspect="1"/>
              </xdr:cNvPicPr>
            </xdr:nvPicPr>
            <xdr:blipFill>
              <a:blip xmlns:r="http://schemas.openxmlformats.org/officeDocument/2006/relationships" r:embed="rId48">
                <a:extLst>
                  <a:ext uri="{96DAC541-7B7A-43D3-8B79-37D633B846F1}">
                    <asvg:svgBlip xmlns:asvg="http://schemas.microsoft.com/office/drawing/2016/SVG/main" r:embed="rId49"/>
                  </a:ext>
                </a:extLst>
              </a:blip>
              <a:stretch>
                <a:fillRect/>
              </a:stretch>
            </xdr:blipFill>
            <xdr:spPr>
              <a:xfrm>
                <a:off x="894938" y="2612085"/>
                <a:ext cx="914400" cy="914400"/>
              </a:xfrm>
              <a:prstGeom prst="rect">
                <a:avLst/>
              </a:prstGeom>
            </xdr:spPr>
          </xdr:pic>
          <xdr:pic>
            <xdr:nvPicPr>
              <xdr:cNvPr id="663" name="Grafik 662" descr="Lupe mit einfarbiger Füllung">
                <a:extLst>
                  <a:ext uri="{FF2B5EF4-FFF2-40B4-BE49-F238E27FC236}">
                    <a16:creationId xmlns:a16="http://schemas.microsoft.com/office/drawing/2014/main" id="{B2B49CC9-0432-F0BF-474F-543476D7E57C}"/>
                  </a:ext>
                </a:extLst>
              </xdr:cNvPr>
              <xdr:cNvPicPr>
                <a:picLocks noChangeAspect="1"/>
              </xdr:cNvPicPr>
            </xdr:nvPicPr>
            <xdr:blipFill>
              <a:blip xmlns:r="http://schemas.openxmlformats.org/officeDocument/2006/relationships" r:embed="rId50">
                <a:extLst>
                  <a:ext uri="{96DAC541-7B7A-43D3-8B79-37D633B846F1}">
                    <asvg:svgBlip xmlns:asvg="http://schemas.microsoft.com/office/drawing/2016/SVG/main" r:embed="rId51"/>
                  </a:ext>
                </a:extLst>
              </a:blip>
              <a:stretch>
                <a:fillRect/>
              </a:stretch>
            </xdr:blipFill>
            <xdr:spPr>
              <a:xfrm>
                <a:off x="1355571" y="2689719"/>
                <a:ext cx="626711" cy="626711"/>
              </a:xfrm>
              <a:prstGeom prst="rect">
                <a:avLst/>
              </a:prstGeom>
            </xdr:spPr>
          </xdr:pic>
        </xdr:grpSp>
        <xdr:sp macro="" textlink="">
          <xdr:nvSpPr>
            <xdr:cNvPr id="659" name="Textfeld 96">
              <a:extLst>
                <a:ext uri="{FF2B5EF4-FFF2-40B4-BE49-F238E27FC236}">
                  <a16:creationId xmlns:a16="http://schemas.microsoft.com/office/drawing/2014/main" id="{5739D356-4AA7-70F0-0786-354897B40D17}"/>
                </a:ext>
              </a:extLst>
            </xdr:cNvPr>
            <xdr:cNvSpPr txBox="1"/>
          </xdr:nvSpPr>
          <xdr:spPr>
            <a:xfrm>
              <a:off x="3829298" y="3861927"/>
              <a:ext cx="1388338"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KI-Machbarkeit</a:t>
              </a:r>
            </a:p>
          </xdr:txBody>
        </xdr:sp>
        <xdr:pic>
          <xdr:nvPicPr>
            <xdr:cNvPr id="660" name="Grafik 659" descr="Playbook mit einfarbiger Füllung">
              <a:extLst>
                <a:ext uri="{FF2B5EF4-FFF2-40B4-BE49-F238E27FC236}">
                  <a16:creationId xmlns:a16="http://schemas.microsoft.com/office/drawing/2014/main" id="{103C00C4-60B9-2CE1-71E3-1326A13DFDA2}"/>
                </a:ext>
              </a:extLst>
            </xdr:cNvPr>
            <xdr:cNvPicPr>
              <a:picLocks noChangeAspect="1"/>
            </xdr:cNvPicPr>
          </xdr:nvPicPr>
          <xdr:blipFill>
            <a:blip xmlns:r="http://schemas.openxmlformats.org/officeDocument/2006/relationships" r:embed="rId52">
              <a:extLst>
                <a:ext uri="{96DAC541-7B7A-43D3-8B79-37D633B846F1}">
                  <asvg:svgBlip xmlns:asvg="http://schemas.microsoft.com/office/drawing/2016/SVG/main" r:embed="rId53"/>
                </a:ext>
              </a:extLst>
            </a:blip>
            <a:stretch>
              <a:fillRect/>
            </a:stretch>
          </xdr:blipFill>
          <xdr:spPr>
            <a:xfrm>
              <a:off x="4107979" y="4108433"/>
              <a:ext cx="787463" cy="849555"/>
            </a:xfrm>
            <a:prstGeom prst="rect">
              <a:avLst/>
            </a:prstGeom>
          </xdr:spPr>
        </xdr:pic>
        <xdr:sp macro="" textlink="">
          <xdr:nvSpPr>
            <xdr:cNvPr id="661" name="Textfeld 98">
              <a:extLst>
                <a:ext uri="{FF2B5EF4-FFF2-40B4-BE49-F238E27FC236}">
                  <a16:creationId xmlns:a16="http://schemas.microsoft.com/office/drawing/2014/main" id="{E777CC73-CBCC-1A53-729B-2A45DCB13492}"/>
                </a:ext>
              </a:extLst>
            </xdr:cNvPr>
            <xdr:cNvSpPr txBox="1"/>
          </xdr:nvSpPr>
          <xdr:spPr>
            <a:xfrm>
              <a:off x="3864864" y="4895467"/>
              <a:ext cx="1296682"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KI-Konzept</a:t>
              </a:r>
            </a:p>
          </xdr:txBody>
        </xdr:sp>
      </xdr:grpSp>
      <xdr:grpSp>
        <xdr:nvGrpSpPr>
          <xdr:cNvPr id="639" name="Gruppieren 638">
            <a:extLst>
              <a:ext uri="{FF2B5EF4-FFF2-40B4-BE49-F238E27FC236}">
                <a16:creationId xmlns:a16="http://schemas.microsoft.com/office/drawing/2014/main" id="{A8A4D867-E779-B39D-844B-3F398FA12C4C}"/>
              </a:ext>
            </a:extLst>
          </xdr:cNvPr>
          <xdr:cNvGrpSpPr/>
        </xdr:nvGrpSpPr>
        <xdr:grpSpPr>
          <a:xfrm>
            <a:off x="5392913" y="2066044"/>
            <a:ext cx="1405639" cy="3053272"/>
            <a:chOff x="5271906" y="2066044"/>
            <a:chExt cx="1405639" cy="3053272"/>
          </a:xfrm>
        </xdr:grpSpPr>
        <xdr:sp macro="" textlink="">
          <xdr:nvSpPr>
            <xdr:cNvPr id="650" name="Textfeld 102">
              <a:extLst>
                <a:ext uri="{FF2B5EF4-FFF2-40B4-BE49-F238E27FC236}">
                  <a16:creationId xmlns:a16="http://schemas.microsoft.com/office/drawing/2014/main" id="{696E65BF-BF95-5F20-B0D9-C6B9F872E0CA}"/>
                </a:ext>
              </a:extLst>
            </xdr:cNvPr>
            <xdr:cNvSpPr txBox="1"/>
          </xdr:nvSpPr>
          <xdr:spPr>
            <a:xfrm>
              <a:off x="5307198" y="2861515"/>
              <a:ext cx="1370347"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KI-Entwicklung</a:t>
              </a:r>
            </a:p>
          </xdr:txBody>
        </xdr:sp>
        <xdr:pic>
          <xdr:nvPicPr>
            <xdr:cNvPr id="651" name="Grafik 650" descr="Cmd (Terminal) mit einfarbiger Füllung">
              <a:extLst>
                <a:ext uri="{FF2B5EF4-FFF2-40B4-BE49-F238E27FC236}">
                  <a16:creationId xmlns:a16="http://schemas.microsoft.com/office/drawing/2014/main" id="{124CD70C-AD2D-BE4B-7671-6454887D23AF}"/>
                </a:ext>
              </a:extLst>
            </xdr:cNvPr>
            <xdr:cNvPicPr>
              <a:picLocks noChangeAspect="1"/>
            </xdr:cNvPicPr>
          </xdr:nvPicPr>
          <xdr:blipFill>
            <a:blip xmlns:r="http://schemas.openxmlformats.org/officeDocument/2006/relationships" r:embed="rId54">
              <a:extLst>
                <a:ext uri="{96DAC541-7B7A-43D3-8B79-37D633B846F1}">
                  <asvg:svgBlip xmlns:asvg="http://schemas.microsoft.com/office/drawing/2016/SVG/main" r:embed="rId55"/>
                </a:ext>
              </a:extLst>
            </a:blip>
            <a:stretch>
              <a:fillRect/>
            </a:stretch>
          </xdr:blipFill>
          <xdr:spPr>
            <a:xfrm>
              <a:off x="5563641" y="2066044"/>
              <a:ext cx="888928" cy="888928"/>
            </a:xfrm>
            <a:prstGeom prst="rect">
              <a:avLst/>
            </a:prstGeom>
          </xdr:spPr>
        </xdr:pic>
        <xdr:sp macro="" textlink="">
          <xdr:nvSpPr>
            <xdr:cNvPr id="652" name="Textfeld 104">
              <a:extLst>
                <a:ext uri="{FF2B5EF4-FFF2-40B4-BE49-F238E27FC236}">
                  <a16:creationId xmlns:a16="http://schemas.microsoft.com/office/drawing/2014/main" id="{71BA4678-6AF4-31C7-925F-4FA90DF85150}"/>
                </a:ext>
              </a:extLst>
            </xdr:cNvPr>
            <xdr:cNvSpPr txBox="1"/>
          </xdr:nvSpPr>
          <xdr:spPr>
            <a:xfrm>
              <a:off x="5288737" y="3864597"/>
              <a:ext cx="1388338"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KI-Einführung</a:t>
              </a:r>
            </a:p>
          </xdr:txBody>
        </xdr:sp>
        <xdr:pic>
          <xdr:nvPicPr>
            <xdr:cNvPr id="653" name="Grafik 652" descr="Elektriker mit einfarbiger Füllung">
              <a:extLst>
                <a:ext uri="{FF2B5EF4-FFF2-40B4-BE49-F238E27FC236}">
                  <a16:creationId xmlns:a16="http://schemas.microsoft.com/office/drawing/2014/main" id="{43D3236B-E49A-0394-E4F7-41807FBE474E}"/>
                </a:ext>
              </a:extLst>
            </xdr:cNvPr>
            <xdr:cNvPicPr>
              <a:picLocks noChangeAspect="1"/>
            </xdr:cNvPicPr>
          </xdr:nvPicPr>
          <xdr:blipFill>
            <a:blip xmlns:r="http://schemas.openxmlformats.org/officeDocument/2006/relationships" r:embed="rId56">
              <a:extLst>
                <a:ext uri="{96DAC541-7B7A-43D3-8B79-37D633B846F1}">
                  <asvg:svgBlip xmlns:asvg="http://schemas.microsoft.com/office/drawing/2016/SVG/main" r:embed="rId57"/>
                </a:ext>
              </a:extLst>
            </a:blip>
            <a:stretch>
              <a:fillRect/>
            </a:stretch>
          </xdr:blipFill>
          <xdr:spPr>
            <a:xfrm>
              <a:off x="5679626" y="3178289"/>
              <a:ext cx="671594" cy="671594"/>
            </a:xfrm>
            <a:prstGeom prst="rect">
              <a:avLst/>
            </a:prstGeom>
          </xdr:spPr>
        </xdr:pic>
        <xdr:pic>
          <xdr:nvPicPr>
            <xdr:cNvPr id="654" name="Grafik 653" descr="UI UX mit einfarbiger Füllung">
              <a:extLst>
                <a:ext uri="{FF2B5EF4-FFF2-40B4-BE49-F238E27FC236}">
                  <a16:creationId xmlns:a16="http://schemas.microsoft.com/office/drawing/2014/main" id="{7715F6B9-1FB9-BD8B-1339-2248FA274258}"/>
                </a:ext>
              </a:extLst>
            </xdr:cNvPr>
            <xdr:cNvPicPr>
              <a:picLocks noChangeAspect="1"/>
            </xdr:cNvPicPr>
          </xdr:nvPicPr>
          <xdr:blipFill>
            <a:blip xmlns:r="http://schemas.openxmlformats.org/officeDocument/2006/relationships" r:embed="rId58">
              <a:extLst>
                <a:ext uri="{96DAC541-7B7A-43D3-8B79-37D633B846F1}">
                  <asvg:svgBlip xmlns:asvg="http://schemas.microsoft.com/office/drawing/2016/SVG/main" r:embed="rId59"/>
                </a:ext>
              </a:extLst>
            </a:blip>
            <a:stretch>
              <a:fillRect/>
            </a:stretch>
          </xdr:blipFill>
          <xdr:spPr>
            <a:xfrm>
              <a:off x="5560285" y="4094755"/>
              <a:ext cx="885948" cy="885948"/>
            </a:xfrm>
            <a:prstGeom prst="rect">
              <a:avLst/>
            </a:prstGeom>
          </xdr:spPr>
        </xdr:pic>
        <xdr:sp macro="" textlink="">
          <xdr:nvSpPr>
            <xdr:cNvPr id="655" name="Textfeld 107">
              <a:extLst>
                <a:ext uri="{FF2B5EF4-FFF2-40B4-BE49-F238E27FC236}">
                  <a16:creationId xmlns:a16="http://schemas.microsoft.com/office/drawing/2014/main" id="{6DAD9550-DE3B-C366-DC1F-AECCF9BB7CED}"/>
                </a:ext>
              </a:extLst>
            </xdr:cNvPr>
            <xdr:cNvSpPr txBox="1"/>
          </xdr:nvSpPr>
          <xdr:spPr>
            <a:xfrm>
              <a:off x="5271906" y="4904813"/>
              <a:ext cx="1370347" cy="214503"/>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KI-Anwendung</a:t>
              </a:r>
            </a:p>
          </xdr:txBody>
        </xdr:sp>
      </xdr:grpSp>
      <xdr:grpSp>
        <xdr:nvGrpSpPr>
          <xdr:cNvPr id="640" name="Gruppieren 639">
            <a:extLst>
              <a:ext uri="{FF2B5EF4-FFF2-40B4-BE49-F238E27FC236}">
                <a16:creationId xmlns:a16="http://schemas.microsoft.com/office/drawing/2014/main" id="{4F400179-06C3-6525-277D-A62EEDF29EBC}"/>
              </a:ext>
            </a:extLst>
          </xdr:cNvPr>
          <xdr:cNvGrpSpPr/>
        </xdr:nvGrpSpPr>
        <xdr:grpSpPr>
          <a:xfrm>
            <a:off x="6984343" y="2123530"/>
            <a:ext cx="1408247" cy="2982831"/>
            <a:chOff x="6765043" y="2138010"/>
            <a:chExt cx="1408247" cy="2982831"/>
          </a:xfrm>
        </xdr:grpSpPr>
        <xdr:sp macro="" textlink="">
          <xdr:nvSpPr>
            <xdr:cNvPr id="641" name="Textfeld 109">
              <a:extLst>
                <a:ext uri="{FF2B5EF4-FFF2-40B4-BE49-F238E27FC236}">
                  <a16:creationId xmlns:a16="http://schemas.microsoft.com/office/drawing/2014/main" id="{4CCD007E-D525-3F63-16B5-558C6755D14C}"/>
                </a:ext>
              </a:extLst>
            </xdr:cNvPr>
            <xdr:cNvSpPr txBox="1"/>
          </xdr:nvSpPr>
          <xdr:spPr>
            <a:xfrm>
              <a:off x="6765043" y="2885467"/>
              <a:ext cx="1372671"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KI-Anpassung</a:t>
              </a:r>
            </a:p>
          </xdr:txBody>
        </xdr:sp>
        <xdr:pic>
          <xdr:nvPicPr>
            <xdr:cNvPr id="642" name="Grafik 641" descr="Balkendiagramm mit Aufwärtstrend mit einfarbiger Füllung">
              <a:extLst>
                <a:ext uri="{FF2B5EF4-FFF2-40B4-BE49-F238E27FC236}">
                  <a16:creationId xmlns:a16="http://schemas.microsoft.com/office/drawing/2014/main" id="{E5DC9BC6-AC58-6349-87F4-F542EE79DB8E}"/>
                </a:ext>
              </a:extLst>
            </xdr:cNvPr>
            <xdr:cNvPicPr>
              <a:picLocks noChangeAspect="1"/>
            </xdr:cNvPicPr>
          </xdr:nvPicPr>
          <xdr:blipFill>
            <a:blip xmlns:r="http://schemas.openxmlformats.org/officeDocument/2006/relationships" r:embed="rId60">
              <a:extLst>
                <a:ext uri="{96DAC541-7B7A-43D3-8B79-37D633B846F1}">
                  <asvg:svgBlip xmlns:asvg="http://schemas.microsoft.com/office/drawing/2016/SVG/main" r:embed="rId61"/>
                </a:ext>
              </a:extLst>
            </a:blip>
            <a:stretch>
              <a:fillRect/>
            </a:stretch>
          </xdr:blipFill>
          <xdr:spPr>
            <a:xfrm>
              <a:off x="7030603" y="2138010"/>
              <a:ext cx="853277" cy="787753"/>
            </a:xfrm>
            <a:prstGeom prst="rect">
              <a:avLst/>
            </a:prstGeom>
          </xdr:spPr>
        </xdr:pic>
        <xdr:sp macro="" textlink="">
          <xdr:nvSpPr>
            <xdr:cNvPr id="643" name="Textfeld 111">
              <a:extLst>
                <a:ext uri="{FF2B5EF4-FFF2-40B4-BE49-F238E27FC236}">
                  <a16:creationId xmlns:a16="http://schemas.microsoft.com/office/drawing/2014/main" id="{FB5DF811-0832-EAD3-9373-04E0B07733F7}"/>
                </a:ext>
              </a:extLst>
            </xdr:cNvPr>
            <xdr:cNvSpPr txBox="1"/>
          </xdr:nvSpPr>
          <xdr:spPr>
            <a:xfrm>
              <a:off x="6805448" y="3876378"/>
              <a:ext cx="1367842"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KI-Erfolg</a:t>
              </a:r>
            </a:p>
          </xdr:txBody>
        </xdr:sp>
        <xdr:grpSp>
          <xdr:nvGrpSpPr>
            <xdr:cNvPr id="644" name="Gruppieren 643">
              <a:extLst>
                <a:ext uri="{FF2B5EF4-FFF2-40B4-BE49-F238E27FC236}">
                  <a16:creationId xmlns:a16="http://schemas.microsoft.com/office/drawing/2014/main" id="{376E31A5-B394-6117-F573-4445B09CE7FE}"/>
                </a:ext>
              </a:extLst>
            </xdr:cNvPr>
            <xdr:cNvGrpSpPr/>
          </xdr:nvGrpSpPr>
          <xdr:grpSpPr>
            <a:xfrm>
              <a:off x="7114881" y="3003513"/>
              <a:ext cx="678389" cy="975971"/>
              <a:chOff x="6294238" y="2400300"/>
              <a:chExt cx="923892" cy="1516094"/>
            </a:xfrm>
            <a:solidFill>
              <a:srgbClr val="003D92">
                <a:lumMod val="75000"/>
              </a:srgbClr>
            </a:solidFill>
          </xdr:grpSpPr>
          <xdr:pic>
            <xdr:nvPicPr>
              <xdr:cNvPr id="647" name="Grafik 646" descr="Bewertung 3 Sterne mit einfarbiger Füllung">
                <a:extLst>
                  <a:ext uri="{FF2B5EF4-FFF2-40B4-BE49-F238E27FC236}">
                    <a16:creationId xmlns:a16="http://schemas.microsoft.com/office/drawing/2014/main" id="{0989BAA3-CFA5-4014-C6B7-C2D5AADB4E44}"/>
                  </a:ext>
                </a:extLst>
              </xdr:cNvPr>
              <xdr:cNvPicPr>
                <a:picLocks noChangeAspect="1"/>
              </xdr:cNvPicPr>
            </xdr:nvPicPr>
            <xdr:blipFill>
              <a:blip xmlns:r="http://schemas.openxmlformats.org/officeDocument/2006/relationships" r:embed="rId62">
                <a:extLst>
                  <a:ext uri="{96DAC541-7B7A-43D3-8B79-37D633B846F1}">
                    <asvg:svgBlip xmlns:asvg="http://schemas.microsoft.com/office/drawing/2016/SVG/main" r:embed="rId63"/>
                  </a:ext>
                </a:extLst>
              </a:blip>
              <a:stretch>
                <a:fillRect/>
              </a:stretch>
            </xdr:blipFill>
            <xdr:spPr>
              <a:xfrm>
                <a:off x="6294238" y="2400300"/>
                <a:ext cx="914400" cy="914400"/>
              </a:xfrm>
              <a:prstGeom prst="rect">
                <a:avLst/>
              </a:prstGeom>
            </xdr:spPr>
          </xdr:pic>
          <xdr:pic>
            <xdr:nvPicPr>
              <xdr:cNvPr id="648" name="Grafik 647" descr="Bewertung 1 Stern mit einfarbiger Füllung">
                <a:extLst>
                  <a:ext uri="{FF2B5EF4-FFF2-40B4-BE49-F238E27FC236}">
                    <a16:creationId xmlns:a16="http://schemas.microsoft.com/office/drawing/2014/main" id="{0FA56AB2-BB68-D82E-227C-250EEC10DAB4}"/>
                  </a:ext>
                </a:extLst>
              </xdr:cNvPr>
              <xdr:cNvPicPr>
                <a:picLocks noChangeAspect="1"/>
              </xdr:cNvPicPr>
            </xdr:nvPicPr>
            <xdr:blipFill>
              <a:blip xmlns:r="http://schemas.openxmlformats.org/officeDocument/2006/relationships" r:embed="rId64">
                <a:extLst>
                  <a:ext uri="{96DAC541-7B7A-43D3-8B79-37D633B846F1}">
                    <asvg:svgBlip xmlns:asvg="http://schemas.microsoft.com/office/drawing/2016/SVG/main" r:embed="rId65"/>
                  </a:ext>
                </a:extLst>
              </a:blip>
              <a:stretch>
                <a:fillRect/>
              </a:stretch>
            </xdr:blipFill>
            <xdr:spPr>
              <a:xfrm>
                <a:off x="6303730" y="3001994"/>
                <a:ext cx="914400" cy="914400"/>
              </a:xfrm>
              <a:prstGeom prst="rect">
                <a:avLst/>
              </a:prstGeom>
            </xdr:spPr>
          </xdr:pic>
          <xdr:pic>
            <xdr:nvPicPr>
              <xdr:cNvPr id="649" name="Grafik 648" descr="Stern für Bewertung mit einfarbiger Füllung">
                <a:extLst>
                  <a:ext uri="{FF2B5EF4-FFF2-40B4-BE49-F238E27FC236}">
                    <a16:creationId xmlns:a16="http://schemas.microsoft.com/office/drawing/2014/main" id="{510237BD-BD94-9065-7BBF-AD73D4EED4C9}"/>
                  </a:ext>
                </a:extLst>
              </xdr:cNvPr>
              <xdr:cNvPicPr>
                <a:picLocks noChangeAspect="1"/>
              </xdr:cNvPicPr>
            </xdr:nvPicPr>
            <xdr:blipFill>
              <a:blip xmlns:r="http://schemas.openxmlformats.org/officeDocument/2006/relationships" r:embed="rId66">
                <a:extLst>
                  <a:ext uri="{96DAC541-7B7A-43D3-8B79-37D633B846F1}">
                    <asvg:svgBlip xmlns:asvg="http://schemas.microsoft.com/office/drawing/2016/SVG/main" r:embed="rId67"/>
                  </a:ext>
                </a:extLst>
              </a:blip>
              <a:stretch>
                <a:fillRect/>
              </a:stretch>
            </xdr:blipFill>
            <xdr:spPr>
              <a:xfrm>
                <a:off x="6302715" y="2694494"/>
                <a:ext cx="914400" cy="914400"/>
              </a:xfrm>
              <a:prstGeom prst="rect">
                <a:avLst/>
              </a:prstGeom>
            </xdr:spPr>
          </xdr:pic>
        </xdr:grpSp>
        <xdr:sp macro="" textlink="">
          <xdr:nvSpPr>
            <xdr:cNvPr id="645" name="Textfeld 113">
              <a:extLst>
                <a:ext uri="{FF2B5EF4-FFF2-40B4-BE49-F238E27FC236}">
                  <a16:creationId xmlns:a16="http://schemas.microsoft.com/office/drawing/2014/main" id="{6FEC3ECD-F650-7236-8456-81D5DBDD2542}"/>
                </a:ext>
              </a:extLst>
            </xdr:cNvPr>
            <xdr:cNvSpPr txBox="1"/>
          </xdr:nvSpPr>
          <xdr:spPr>
            <a:xfrm>
              <a:off x="6775483" y="4905397"/>
              <a:ext cx="1370347" cy="215444"/>
            </a:xfrm>
            <a:prstGeom prst="rect">
              <a:avLst/>
            </a:prstGeom>
            <a:noFill/>
          </xdr:spPr>
          <xdr:txBody>
            <a:bodyPr wrap="square" lIns="0" tIns="0" rIns="0" bIns="0" rtlCol="0">
              <a:spAutoFit/>
            </a:bodyPr>
            <a:lstStyle>
              <a:defPPr>
                <a:defRPr lang="de-DE"/>
              </a:defPPr>
              <a:lvl1pPr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1pPr>
              <a:lvl2pPr marL="356616"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2pPr>
              <a:lvl3pPr marL="713232"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3pPr>
              <a:lvl4pPr marL="1069848"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4pPr>
              <a:lvl5pPr marL="1426464" algn="l" defTabSz="356616" rtl="0" fontAlgn="base">
                <a:spcBef>
                  <a:spcPct val="0"/>
                </a:spcBef>
                <a:spcAft>
                  <a:spcPct val="0"/>
                </a:spcAft>
                <a:defRPr sz="1872" kern="1200">
                  <a:solidFill>
                    <a:srgbClr val="002E67"/>
                  </a:solidFill>
                  <a:latin typeface="Arial" charset="0"/>
                  <a:ea typeface="ＭＳ Ｐゴシック" charset="-128"/>
                  <a:cs typeface="ＭＳ Ｐゴシック" charset="-128"/>
                </a:defRPr>
              </a:lvl5pPr>
              <a:lvl6pPr marL="1783080" algn="l" defTabSz="356616" rtl="0" eaLnBrk="1" latinLnBrk="0" hangingPunct="1">
                <a:defRPr sz="1872" kern="1200">
                  <a:solidFill>
                    <a:srgbClr val="002E67"/>
                  </a:solidFill>
                  <a:latin typeface="Arial" charset="0"/>
                  <a:ea typeface="ＭＳ Ｐゴシック" charset="-128"/>
                  <a:cs typeface="ＭＳ Ｐゴシック" charset="-128"/>
                </a:defRPr>
              </a:lvl6pPr>
              <a:lvl7pPr marL="2139696" algn="l" defTabSz="356616" rtl="0" eaLnBrk="1" latinLnBrk="0" hangingPunct="1">
                <a:defRPr sz="1872" kern="1200">
                  <a:solidFill>
                    <a:srgbClr val="002E67"/>
                  </a:solidFill>
                  <a:latin typeface="Arial" charset="0"/>
                  <a:ea typeface="ＭＳ Ｐゴシック" charset="-128"/>
                  <a:cs typeface="ＭＳ Ｐゴシック" charset="-128"/>
                </a:defRPr>
              </a:lvl7pPr>
              <a:lvl8pPr marL="2496312" algn="l" defTabSz="356616" rtl="0" eaLnBrk="1" latinLnBrk="0" hangingPunct="1">
                <a:defRPr sz="1872" kern="1200">
                  <a:solidFill>
                    <a:srgbClr val="002E67"/>
                  </a:solidFill>
                  <a:latin typeface="Arial" charset="0"/>
                  <a:ea typeface="ＭＳ Ｐゴシック" charset="-128"/>
                  <a:cs typeface="ＭＳ Ｐゴシック" charset="-128"/>
                </a:defRPr>
              </a:lvl8pPr>
              <a:lvl9pPr marL="2852928" algn="l" defTabSz="356616" rtl="0" eaLnBrk="1" latinLnBrk="0" hangingPunct="1">
                <a:defRPr sz="1872" kern="1200">
                  <a:solidFill>
                    <a:srgbClr val="002E67"/>
                  </a:solidFill>
                  <a:latin typeface="Arial" charset="0"/>
                  <a:ea typeface="ＭＳ Ｐゴシック" charset="-128"/>
                  <a:cs typeface="ＭＳ Ｐゴシック" charset="-128"/>
                </a:defRPr>
              </a:lvl9pPr>
            </a:lstStyle>
            <a:p>
              <a:pPr algn="ctr"/>
              <a:r>
                <a:rPr lang="de-DE" sz="1400">
                  <a:solidFill>
                    <a:srgbClr val="003A6D"/>
                  </a:solidFill>
                </a:rPr>
                <a:t>KI-Entscheidung</a:t>
              </a:r>
            </a:p>
          </xdr:txBody>
        </xdr:sp>
        <xdr:pic>
          <xdr:nvPicPr>
            <xdr:cNvPr id="646" name="Grafik 645" descr="Wegweiser mit einfarbiger Füllung">
              <a:extLst>
                <a:ext uri="{FF2B5EF4-FFF2-40B4-BE49-F238E27FC236}">
                  <a16:creationId xmlns:a16="http://schemas.microsoft.com/office/drawing/2014/main" id="{BCBE240D-BEE1-946A-6939-712947A85218}"/>
                </a:ext>
              </a:extLst>
            </xdr:cNvPr>
            <xdr:cNvPicPr>
              <a:picLocks noChangeAspect="1"/>
            </xdr:cNvPicPr>
          </xdr:nvPicPr>
          <xdr:blipFill>
            <a:blip xmlns:r="http://schemas.openxmlformats.org/officeDocument/2006/relationships" r:embed="rId68">
              <a:extLst>
                <a:ext uri="{96DAC541-7B7A-43D3-8B79-37D633B846F1}">
                  <asvg:svgBlip xmlns:asvg="http://schemas.microsoft.com/office/drawing/2016/SVG/main" r:embed="rId69"/>
                </a:ext>
              </a:extLst>
            </a:blip>
            <a:stretch>
              <a:fillRect/>
            </a:stretch>
          </xdr:blipFill>
          <xdr:spPr>
            <a:xfrm>
              <a:off x="7098237" y="4229237"/>
              <a:ext cx="718008" cy="67257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695063</xdr:colOff>
      <xdr:row>0</xdr:row>
      <xdr:rowOff>0</xdr:rowOff>
    </xdr:from>
    <xdr:to>
      <xdr:col>8</xdr:col>
      <xdr:colOff>1564</xdr:colOff>
      <xdr:row>3</xdr:row>
      <xdr:rowOff>35277</xdr:rowOff>
    </xdr:to>
    <xdr:pic>
      <xdr:nvPicPr>
        <xdr:cNvPr id="2" name="Grafik 1">
          <a:extLst>
            <a:ext uri="{FF2B5EF4-FFF2-40B4-BE49-F238E27FC236}">
              <a16:creationId xmlns:a16="http://schemas.microsoft.com/office/drawing/2014/main" id="{337DFF31-5030-4BE7-8B4C-6DF8F1C71D84}"/>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9366341" y="0"/>
          <a:ext cx="1040051" cy="550333"/>
        </a:xfrm>
        <a:prstGeom prst="rect">
          <a:avLst/>
        </a:prstGeom>
      </xdr:spPr>
    </xdr:pic>
    <xdr:clientData/>
  </xdr:twoCellAnchor>
  <xdr:twoCellAnchor>
    <xdr:from>
      <xdr:col>8</xdr:col>
      <xdr:colOff>331610</xdr:colOff>
      <xdr:row>3</xdr:row>
      <xdr:rowOff>7054</xdr:rowOff>
    </xdr:from>
    <xdr:to>
      <xdr:col>9</xdr:col>
      <xdr:colOff>706262</xdr:colOff>
      <xdr:row>7</xdr:row>
      <xdr:rowOff>45861</xdr:rowOff>
    </xdr:to>
    <xdr:sp macro="" textlink="">
      <xdr:nvSpPr>
        <xdr:cNvPr id="5" name="Rechteck: abgeschrägt 4">
          <a:hlinkClick xmlns:r="http://schemas.openxmlformats.org/officeDocument/2006/relationships" r:id="rId2"/>
          <a:extLst>
            <a:ext uri="{FF2B5EF4-FFF2-40B4-BE49-F238E27FC236}">
              <a16:creationId xmlns:a16="http://schemas.microsoft.com/office/drawing/2014/main" id="{98A64C4D-086B-4891-8155-B4D5909F9C46}"/>
            </a:ext>
          </a:extLst>
        </xdr:cNvPr>
        <xdr:cNvSpPr/>
      </xdr:nvSpPr>
      <xdr:spPr>
        <a:xfrm>
          <a:off x="10780888" y="522110"/>
          <a:ext cx="1129596" cy="69497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647438</xdr:colOff>
      <xdr:row>0</xdr:row>
      <xdr:rowOff>7938</xdr:rowOff>
    </xdr:from>
    <xdr:to>
      <xdr:col>13</xdr:col>
      <xdr:colOff>28552</xdr:colOff>
      <xdr:row>3</xdr:row>
      <xdr:rowOff>70558</xdr:rowOff>
    </xdr:to>
    <xdr:pic>
      <xdr:nvPicPr>
        <xdr:cNvPr id="2" name="Grafik 1">
          <a:extLst>
            <a:ext uri="{FF2B5EF4-FFF2-40B4-BE49-F238E27FC236}">
              <a16:creationId xmlns:a16="http://schemas.microsoft.com/office/drawing/2014/main" id="{100EE18C-F4AD-4390-9E0B-6F1B45E4CEA9}"/>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8370626" y="7938"/>
          <a:ext cx="1040051" cy="586495"/>
        </a:xfrm>
        <a:prstGeom prst="rect">
          <a:avLst/>
        </a:prstGeom>
      </xdr:spPr>
    </xdr:pic>
    <xdr:clientData/>
  </xdr:twoCellAnchor>
  <xdr:twoCellAnchor>
    <xdr:from>
      <xdr:col>14</xdr:col>
      <xdr:colOff>154340</xdr:colOff>
      <xdr:row>3</xdr:row>
      <xdr:rowOff>14995</xdr:rowOff>
    </xdr:from>
    <xdr:to>
      <xdr:col>15</xdr:col>
      <xdr:colOff>528991</xdr:colOff>
      <xdr:row>6</xdr:row>
      <xdr:rowOff>163161</xdr:rowOff>
    </xdr:to>
    <xdr:sp macro="" textlink="">
      <xdr:nvSpPr>
        <xdr:cNvPr id="5" name="Rechteck: abgeschrägt 4">
          <a:hlinkClick xmlns:r="http://schemas.openxmlformats.org/officeDocument/2006/relationships" r:id="rId2"/>
          <a:extLst>
            <a:ext uri="{FF2B5EF4-FFF2-40B4-BE49-F238E27FC236}">
              <a16:creationId xmlns:a16="http://schemas.microsoft.com/office/drawing/2014/main" id="{E51436C9-5FA9-485D-8A73-58214B1A1278}"/>
            </a:ext>
          </a:extLst>
        </xdr:cNvPr>
        <xdr:cNvSpPr/>
      </xdr:nvSpPr>
      <xdr:spPr>
        <a:xfrm>
          <a:off x="10052403" y="538870"/>
          <a:ext cx="1128713" cy="672041"/>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182739</xdr:colOff>
      <xdr:row>4</xdr:row>
      <xdr:rowOff>15523</xdr:rowOff>
    </xdr:from>
    <xdr:to>
      <xdr:col>14</xdr:col>
      <xdr:colOff>557390</xdr:colOff>
      <xdr:row>7</xdr:row>
      <xdr:rowOff>45861</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863AFE19-1E95-462F-980A-CF6A6433A7A6}"/>
            </a:ext>
          </a:extLst>
        </xdr:cNvPr>
        <xdr:cNvSpPr/>
      </xdr:nvSpPr>
      <xdr:spPr>
        <a:xfrm>
          <a:off x="12021961" y="594079"/>
          <a:ext cx="1129596" cy="665338"/>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10</xdr:col>
      <xdr:colOff>171450</xdr:colOff>
      <xdr:row>0</xdr:row>
      <xdr:rowOff>50800</xdr:rowOff>
    </xdr:from>
    <xdr:to>
      <xdr:col>12</xdr:col>
      <xdr:colOff>379651</xdr:colOff>
      <xdr:row>4</xdr:row>
      <xdr:rowOff>23283</xdr:rowOff>
    </xdr:to>
    <xdr:pic>
      <xdr:nvPicPr>
        <xdr:cNvPr id="4" name="Grafik 3">
          <a:extLst>
            <a:ext uri="{FF2B5EF4-FFF2-40B4-BE49-F238E27FC236}">
              <a16:creationId xmlns:a16="http://schemas.microsoft.com/office/drawing/2014/main" id="{3C1FC90D-EA64-47AF-BA9E-7264869C5CEF}"/>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9925050" y="50800"/>
          <a:ext cx="1040050" cy="5503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254000</xdr:colOff>
      <xdr:row>0</xdr:row>
      <xdr:rowOff>69850</xdr:rowOff>
    </xdr:from>
    <xdr:to>
      <xdr:col>10</xdr:col>
      <xdr:colOff>97076</xdr:colOff>
      <xdr:row>3</xdr:row>
      <xdr:rowOff>69321</xdr:rowOff>
    </xdr:to>
    <xdr:pic>
      <xdr:nvPicPr>
        <xdr:cNvPr id="3" name="Grafik 2">
          <a:extLst>
            <a:ext uri="{FF2B5EF4-FFF2-40B4-BE49-F238E27FC236}">
              <a16:creationId xmlns:a16="http://schemas.microsoft.com/office/drawing/2014/main" id="{6DD9FC92-AD5D-497E-BD02-C6E06ACC6E0A}"/>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8870950" y="69850"/>
          <a:ext cx="1049576" cy="551921"/>
        </a:xfrm>
        <a:prstGeom prst="rect">
          <a:avLst/>
        </a:prstGeom>
      </xdr:spPr>
    </xdr:pic>
    <xdr:clientData/>
  </xdr:twoCellAnchor>
  <xdr:twoCellAnchor>
    <xdr:from>
      <xdr:col>10</xdr:col>
      <xdr:colOff>285045</xdr:colOff>
      <xdr:row>4</xdr:row>
      <xdr:rowOff>16933</xdr:rowOff>
    </xdr:from>
    <xdr:to>
      <xdr:col>11</xdr:col>
      <xdr:colOff>659696</xdr:colOff>
      <xdr:row>8</xdr:row>
      <xdr:rowOff>11113</xdr:rowOff>
    </xdr:to>
    <xdr:sp macro="" textlink="">
      <xdr:nvSpPr>
        <xdr:cNvPr id="4" name="Rechteck: abgeschrägt 3">
          <a:hlinkClick xmlns:r="http://schemas.openxmlformats.org/officeDocument/2006/relationships" r:id="rId2"/>
          <a:extLst>
            <a:ext uri="{FF2B5EF4-FFF2-40B4-BE49-F238E27FC236}">
              <a16:creationId xmlns:a16="http://schemas.microsoft.com/office/drawing/2014/main" id="{5150B028-3641-4C5C-8212-F8403283CCE3}"/>
            </a:ext>
          </a:extLst>
        </xdr:cNvPr>
        <xdr:cNvSpPr/>
      </xdr:nvSpPr>
      <xdr:spPr>
        <a:xfrm>
          <a:off x="11291712" y="651933"/>
          <a:ext cx="1136651" cy="67151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243416</xdr:colOff>
      <xdr:row>3</xdr:row>
      <xdr:rowOff>6173</xdr:rowOff>
    </xdr:from>
    <xdr:to>
      <xdr:col>18</xdr:col>
      <xdr:colOff>652463</xdr:colOff>
      <xdr:row>6</xdr:row>
      <xdr:rowOff>50270</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9663F06C-AE33-4161-99D6-A1B17E743C91}"/>
            </a:ext>
          </a:extLst>
        </xdr:cNvPr>
        <xdr:cNvSpPr/>
      </xdr:nvSpPr>
      <xdr:spPr>
        <a:xfrm>
          <a:off x="13633979" y="577673"/>
          <a:ext cx="1163109" cy="63941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14</xdr:col>
      <xdr:colOff>317500</xdr:colOff>
      <xdr:row>0</xdr:row>
      <xdr:rowOff>52917</xdr:rowOff>
    </xdr:from>
    <xdr:to>
      <xdr:col>16</xdr:col>
      <xdr:colOff>414576</xdr:colOff>
      <xdr:row>3</xdr:row>
      <xdr:rowOff>31221</xdr:rowOff>
    </xdr:to>
    <xdr:pic>
      <xdr:nvPicPr>
        <xdr:cNvPr id="4" name="Grafik 3">
          <a:extLst>
            <a:ext uri="{FF2B5EF4-FFF2-40B4-BE49-F238E27FC236}">
              <a16:creationId xmlns:a16="http://schemas.microsoft.com/office/drawing/2014/main" id="{696B25CA-1808-401C-A50D-EFE5A0D7CF32}"/>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1758083" y="52917"/>
          <a:ext cx="986076" cy="5498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33</xdr:col>
      <xdr:colOff>200023</xdr:colOff>
      <xdr:row>1</xdr:row>
      <xdr:rowOff>152400</xdr:rowOff>
    </xdr:from>
    <xdr:to>
      <xdr:col>34</xdr:col>
      <xdr:colOff>238125</xdr:colOff>
      <xdr:row>3</xdr:row>
      <xdr:rowOff>11907</xdr:rowOff>
    </xdr:to>
    <xdr:sp macro="" textlink="">
      <xdr:nvSpPr>
        <xdr:cNvPr id="2" name="Textfeld 1">
          <a:extLst>
            <a:ext uri="{FF2B5EF4-FFF2-40B4-BE49-F238E27FC236}">
              <a16:creationId xmlns:a16="http://schemas.microsoft.com/office/drawing/2014/main" id="{24F3F08F-7835-4C04-BD6C-2347261FAFE8}"/>
            </a:ext>
          </a:extLst>
        </xdr:cNvPr>
        <xdr:cNvSpPr txBox="1"/>
      </xdr:nvSpPr>
      <xdr:spPr>
        <a:xfrm>
          <a:off x="13830298" y="228600"/>
          <a:ext cx="342902" cy="278607"/>
        </a:xfrm>
        <a:prstGeom prst="rect">
          <a:avLst/>
        </a:prstGeom>
        <a:solidFill>
          <a:schemeClr val="tx2">
            <a:lumMod val="60000"/>
            <a:lumOff val="4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solidFill>
                <a:schemeClr val="bg1"/>
              </a:solidFill>
              <a:latin typeface="Arial" panose="020B0604020202020204" pitchFamily="34" charset="0"/>
              <a:cs typeface="Arial" panose="020B0604020202020204" pitchFamily="34" charset="0"/>
            </a:rPr>
            <a:t>Nr.</a:t>
          </a:r>
        </a:p>
      </xdr:txBody>
    </xdr:sp>
    <xdr:clientData/>
  </xdr:twoCellAnchor>
  <xdr:twoCellAnchor editAs="oneCell">
    <xdr:from>
      <xdr:col>9</xdr:col>
      <xdr:colOff>11906</xdr:colOff>
      <xdr:row>0</xdr:row>
      <xdr:rowOff>23813</xdr:rowOff>
    </xdr:from>
    <xdr:to>
      <xdr:col>11</xdr:col>
      <xdr:colOff>57388</xdr:colOff>
      <xdr:row>4</xdr:row>
      <xdr:rowOff>14023</xdr:rowOff>
    </xdr:to>
    <xdr:pic>
      <xdr:nvPicPr>
        <xdr:cNvPr id="4" name="Grafik 3">
          <a:extLst>
            <a:ext uri="{FF2B5EF4-FFF2-40B4-BE49-F238E27FC236}">
              <a16:creationId xmlns:a16="http://schemas.microsoft.com/office/drawing/2014/main" id="{2EFEF7F8-34FB-4894-BD6A-D35FA7CDE2EB}"/>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6279356" y="23813"/>
          <a:ext cx="988457" cy="561710"/>
        </a:xfrm>
        <a:prstGeom prst="rect">
          <a:avLst/>
        </a:prstGeom>
      </xdr:spPr>
    </xdr:pic>
    <xdr:clientData/>
  </xdr:twoCellAnchor>
  <xdr:twoCellAnchor>
    <xdr:from>
      <xdr:col>46</xdr:col>
      <xdr:colOff>306917</xdr:colOff>
      <xdr:row>3</xdr:row>
      <xdr:rowOff>52916</xdr:rowOff>
    </xdr:from>
    <xdr:to>
      <xdr:col>48</xdr:col>
      <xdr:colOff>116417</xdr:colOff>
      <xdr:row>7</xdr:row>
      <xdr:rowOff>105832</xdr:rowOff>
    </xdr:to>
    <xdr:sp macro="" textlink="">
      <xdr:nvSpPr>
        <xdr:cNvPr id="6" name="Rechteck: abgeschrägt 5">
          <a:hlinkClick xmlns:r="http://schemas.openxmlformats.org/officeDocument/2006/relationships" r:id="rId2"/>
          <a:extLst>
            <a:ext uri="{FF2B5EF4-FFF2-40B4-BE49-F238E27FC236}">
              <a16:creationId xmlns:a16="http://schemas.microsoft.com/office/drawing/2014/main" id="{7E91620C-4391-401D-B05B-0E90058B936D}"/>
            </a:ext>
          </a:extLst>
        </xdr:cNvPr>
        <xdr:cNvSpPr/>
      </xdr:nvSpPr>
      <xdr:spPr>
        <a:xfrm>
          <a:off x="18002250" y="560916"/>
          <a:ext cx="1418167" cy="83608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endParaRPr lang="de-DE" sz="1600" b="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212725</xdr:colOff>
      <xdr:row>4</xdr:row>
      <xdr:rowOff>6349</xdr:rowOff>
    </xdr:from>
    <xdr:to>
      <xdr:col>14</xdr:col>
      <xdr:colOff>587376</xdr:colOff>
      <xdr:row>7</xdr:row>
      <xdr:rowOff>66675</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0221869A-ADF8-41A5-9007-8E514A1FBB4A}"/>
            </a:ext>
          </a:extLst>
        </xdr:cNvPr>
        <xdr:cNvSpPr/>
      </xdr:nvSpPr>
      <xdr:spPr>
        <a:xfrm>
          <a:off x="13579475" y="633412"/>
          <a:ext cx="1136651" cy="663576"/>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11</xdr:col>
      <xdr:colOff>714376</xdr:colOff>
      <xdr:row>0</xdr:row>
      <xdr:rowOff>63501</xdr:rowOff>
    </xdr:from>
    <xdr:to>
      <xdr:col>13</xdr:col>
      <xdr:colOff>4208</xdr:colOff>
      <xdr:row>4</xdr:row>
      <xdr:rowOff>6086</xdr:rowOff>
    </xdr:to>
    <xdr:pic>
      <xdr:nvPicPr>
        <xdr:cNvPr id="2" name="Grafik 1">
          <a:extLst>
            <a:ext uri="{FF2B5EF4-FFF2-40B4-BE49-F238E27FC236}">
              <a16:creationId xmlns:a16="http://schemas.microsoft.com/office/drawing/2014/main" id="{0FE1C606-F3AE-4E1A-993E-242FE350E27C}"/>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2319001" y="63501"/>
          <a:ext cx="1037670" cy="56964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188736</xdr:colOff>
      <xdr:row>4</xdr:row>
      <xdr:rowOff>14111</xdr:rowOff>
    </xdr:from>
    <xdr:to>
      <xdr:col>16</xdr:col>
      <xdr:colOff>570443</xdr:colOff>
      <xdr:row>7</xdr:row>
      <xdr:rowOff>196146</xdr:rowOff>
    </xdr:to>
    <xdr:sp macro="" textlink="">
      <xdr:nvSpPr>
        <xdr:cNvPr id="5" name="Rechteck: abgeschrägt 4">
          <a:hlinkClick xmlns:r="http://schemas.openxmlformats.org/officeDocument/2006/relationships" r:id="rId1"/>
          <a:extLst>
            <a:ext uri="{FF2B5EF4-FFF2-40B4-BE49-F238E27FC236}">
              <a16:creationId xmlns:a16="http://schemas.microsoft.com/office/drawing/2014/main" id="{9A577E06-9601-4DAC-8863-B8575B86C127}"/>
            </a:ext>
          </a:extLst>
        </xdr:cNvPr>
        <xdr:cNvSpPr/>
      </xdr:nvSpPr>
      <xdr:spPr>
        <a:xfrm>
          <a:off x="9737549" y="625299"/>
          <a:ext cx="1135769" cy="67416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12</xdr:col>
      <xdr:colOff>572382</xdr:colOff>
      <xdr:row>0</xdr:row>
      <xdr:rowOff>4410</xdr:rowOff>
    </xdr:from>
    <xdr:to>
      <xdr:col>13</xdr:col>
      <xdr:colOff>694064</xdr:colOff>
      <xdr:row>3</xdr:row>
      <xdr:rowOff>44891</xdr:rowOff>
    </xdr:to>
    <xdr:pic>
      <xdr:nvPicPr>
        <xdr:cNvPr id="6" name="Grafik 5">
          <a:extLst>
            <a:ext uri="{FF2B5EF4-FFF2-40B4-BE49-F238E27FC236}">
              <a16:creationId xmlns:a16="http://schemas.microsoft.com/office/drawing/2014/main" id="{7E6A409B-CF43-46B2-B365-03D4745FCD5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8128882" y="4410"/>
          <a:ext cx="1037670" cy="58023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373742</xdr:colOff>
      <xdr:row>3</xdr:row>
      <xdr:rowOff>1814</xdr:rowOff>
    </xdr:from>
    <xdr:to>
      <xdr:col>20</xdr:col>
      <xdr:colOff>748393</xdr:colOff>
      <xdr:row>7</xdr:row>
      <xdr:rowOff>2043</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9646A7AA-1754-4A5D-96FF-88368F5A1800}"/>
            </a:ext>
          </a:extLst>
        </xdr:cNvPr>
        <xdr:cNvSpPr/>
      </xdr:nvSpPr>
      <xdr:spPr>
        <a:xfrm>
          <a:off x="14525171" y="546100"/>
          <a:ext cx="1136651" cy="66244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16</xdr:col>
      <xdr:colOff>876530</xdr:colOff>
      <xdr:row>0</xdr:row>
      <xdr:rowOff>9073</xdr:rowOff>
    </xdr:from>
    <xdr:to>
      <xdr:col>18</xdr:col>
      <xdr:colOff>152076</xdr:colOff>
      <xdr:row>3</xdr:row>
      <xdr:rowOff>42372</xdr:rowOff>
    </xdr:to>
    <xdr:pic>
      <xdr:nvPicPr>
        <xdr:cNvPr id="3" name="Grafik 2">
          <a:extLst>
            <a:ext uri="{FF2B5EF4-FFF2-40B4-BE49-F238E27FC236}">
              <a16:creationId xmlns:a16="http://schemas.microsoft.com/office/drawing/2014/main" id="{99920D84-CA4A-49BC-9C79-B42EB0C2DCF5}"/>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3204601" y="9073"/>
          <a:ext cx="1035403" cy="577585"/>
        </a:xfrm>
        <a:prstGeom prst="rect">
          <a:avLst/>
        </a:prstGeom>
      </xdr:spPr>
    </xdr:pic>
    <xdr:clientData/>
  </xdr:twoCellAnchor>
  <xdr:twoCellAnchor editAs="oneCell">
    <xdr:from>
      <xdr:col>16</xdr:col>
      <xdr:colOff>876530</xdr:colOff>
      <xdr:row>0</xdr:row>
      <xdr:rowOff>9073</xdr:rowOff>
    </xdr:from>
    <xdr:to>
      <xdr:col>18</xdr:col>
      <xdr:colOff>152076</xdr:colOff>
      <xdr:row>3</xdr:row>
      <xdr:rowOff>42372</xdr:rowOff>
    </xdr:to>
    <xdr:pic>
      <xdr:nvPicPr>
        <xdr:cNvPr id="5" name="Grafik 4">
          <a:extLst>
            <a:ext uri="{FF2B5EF4-FFF2-40B4-BE49-F238E27FC236}">
              <a16:creationId xmlns:a16="http://schemas.microsoft.com/office/drawing/2014/main" id="{070F7FD4-3478-4359-855F-92E17424A8D5}"/>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3087580" y="9073"/>
          <a:ext cx="1040846" cy="5793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19</xdr:col>
      <xdr:colOff>323850</xdr:colOff>
      <xdr:row>3</xdr:row>
      <xdr:rowOff>1813</xdr:rowOff>
    </xdr:from>
    <xdr:to>
      <xdr:col>20</xdr:col>
      <xdr:colOff>698501</xdr:colOff>
      <xdr:row>6</xdr:row>
      <xdr:rowOff>72346</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0D4AB825-73A4-4AEF-966E-3EDEF3CB3B87}"/>
            </a:ext>
          </a:extLst>
        </xdr:cNvPr>
        <xdr:cNvSpPr/>
      </xdr:nvSpPr>
      <xdr:spPr>
        <a:xfrm>
          <a:off x="13611225" y="549501"/>
          <a:ext cx="1136651" cy="665845"/>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16</xdr:col>
      <xdr:colOff>876530</xdr:colOff>
      <xdr:row>0</xdr:row>
      <xdr:rowOff>9073</xdr:rowOff>
    </xdr:from>
    <xdr:to>
      <xdr:col>19</xdr:col>
      <xdr:colOff>44126</xdr:colOff>
      <xdr:row>3</xdr:row>
      <xdr:rowOff>42372</xdr:rowOff>
    </xdr:to>
    <xdr:pic>
      <xdr:nvPicPr>
        <xdr:cNvPr id="15" name="Grafik 14">
          <a:extLst>
            <a:ext uri="{FF2B5EF4-FFF2-40B4-BE49-F238E27FC236}">
              <a16:creationId xmlns:a16="http://schemas.microsoft.com/office/drawing/2014/main" id="{8F3F1279-411C-4377-B844-DD31B9A51BD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2401780" y="9073"/>
          <a:ext cx="1047196" cy="5793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228600</xdr:colOff>
      <xdr:row>3</xdr:row>
      <xdr:rowOff>22981</xdr:rowOff>
    </xdr:from>
    <xdr:to>
      <xdr:col>18</xdr:col>
      <xdr:colOff>603251</xdr:colOff>
      <xdr:row>7</xdr:row>
      <xdr:rowOff>21194</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9098F809-8158-432D-A820-2EA35FFC7985}"/>
            </a:ext>
          </a:extLst>
        </xdr:cNvPr>
        <xdr:cNvSpPr/>
      </xdr:nvSpPr>
      <xdr:spPr>
        <a:xfrm>
          <a:off x="12060767" y="566259"/>
          <a:ext cx="1136651" cy="661435"/>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14</xdr:col>
      <xdr:colOff>876530</xdr:colOff>
      <xdr:row>0</xdr:row>
      <xdr:rowOff>9073</xdr:rowOff>
    </xdr:from>
    <xdr:to>
      <xdr:col>17</xdr:col>
      <xdr:colOff>115386</xdr:colOff>
      <xdr:row>3</xdr:row>
      <xdr:rowOff>42372</xdr:rowOff>
    </xdr:to>
    <xdr:pic>
      <xdr:nvPicPr>
        <xdr:cNvPr id="3" name="Grafik 2">
          <a:extLst>
            <a:ext uri="{FF2B5EF4-FFF2-40B4-BE49-F238E27FC236}">
              <a16:creationId xmlns:a16="http://schemas.microsoft.com/office/drawing/2014/main" id="{F47107DE-D2EF-41DE-B2BA-608CF2374038}"/>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1138130" y="9073"/>
          <a:ext cx="970996" cy="5793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23</xdr:col>
      <xdr:colOff>188913</xdr:colOff>
      <xdr:row>3</xdr:row>
      <xdr:rowOff>17688</xdr:rowOff>
    </xdr:from>
    <xdr:to>
      <xdr:col>24</xdr:col>
      <xdr:colOff>563564</xdr:colOff>
      <xdr:row>7</xdr:row>
      <xdr:rowOff>8846</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B977EED7-A8E4-4215-BF0E-2519C7FEE928}"/>
            </a:ext>
          </a:extLst>
        </xdr:cNvPr>
        <xdr:cNvSpPr/>
      </xdr:nvSpPr>
      <xdr:spPr>
        <a:xfrm>
          <a:off x="13730288" y="565376"/>
          <a:ext cx="1136651" cy="665845"/>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20</xdr:col>
      <xdr:colOff>503467</xdr:colOff>
      <xdr:row>0</xdr:row>
      <xdr:rowOff>1136</xdr:rowOff>
    </xdr:from>
    <xdr:to>
      <xdr:col>22</xdr:col>
      <xdr:colOff>4438</xdr:colOff>
      <xdr:row>3</xdr:row>
      <xdr:rowOff>34435</xdr:rowOff>
    </xdr:to>
    <xdr:pic>
      <xdr:nvPicPr>
        <xdr:cNvPr id="3" name="Grafik 2">
          <a:extLst>
            <a:ext uri="{FF2B5EF4-FFF2-40B4-BE49-F238E27FC236}">
              <a16:creationId xmlns:a16="http://schemas.microsoft.com/office/drawing/2014/main" id="{A3EB75C6-9FD3-441D-A0CF-E66FB9F908BC}"/>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2466867" y="1136"/>
          <a:ext cx="958296" cy="57939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197556</xdr:colOff>
      <xdr:row>0</xdr:row>
      <xdr:rowOff>76905</xdr:rowOff>
    </xdr:from>
    <xdr:to>
      <xdr:col>11</xdr:col>
      <xdr:colOff>40633</xdr:colOff>
      <xdr:row>4</xdr:row>
      <xdr:rowOff>176</xdr:rowOff>
    </xdr:to>
    <xdr:pic>
      <xdr:nvPicPr>
        <xdr:cNvPr id="2" name="Grafik 1">
          <a:extLst>
            <a:ext uri="{FF2B5EF4-FFF2-40B4-BE49-F238E27FC236}">
              <a16:creationId xmlns:a16="http://schemas.microsoft.com/office/drawing/2014/main" id="{D6188FA5-E223-4B61-BCFF-5AEEF6624A12}"/>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668000" y="76905"/>
          <a:ext cx="1042521" cy="549804"/>
        </a:xfrm>
        <a:prstGeom prst="rect">
          <a:avLst/>
        </a:prstGeom>
      </xdr:spPr>
    </xdr:pic>
    <xdr:clientData/>
  </xdr:twoCellAnchor>
  <xdr:twoCellAnchor>
    <xdr:from>
      <xdr:col>11</xdr:col>
      <xdr:colOff>256823</xdr:colOff>
      <xdr:row>4</xdr:row>
      <xdr:rowOff>9878</xdr:rowOff>
    </xdr:from>
    <xdr:to>
      <xdr:col>12</xdr:col>
      <xdr:colOff>631474</xdr:colOff>
      <xdr:row>8</xdr:row>
      <xdr:rowOff>4058</xdr:rowOff>
    </xdr:to>
    <xdr:sp macro="" textlink="">
      <xdr:nvSpPr>
        <xdr:cNvPr id="3" name="Rechteck: abgeschrägt 2">
          <a:hlinkClick xmlns:r="http://schemas.openxmlformats.org/officeDocument/2006/relationships" r:id="rId2"/>
          <a:extLst>
            <a:ext uri="{FF2B5EF4-FFF2-40B4-BE49-F238E27FC236}">
              <a16:creationId xmlns:a16="http://schemas.microsoft.com/office/drawing/2014/main" id="{DE082848-93C2-4B08-97CD-0D80E429D941}"/>
            </a:ext>
          </a:extLst>
        </xdr:cNvPr>
        <xdr:cNvSpPr/>
      </xdr:nvSpPr>
      <xdr:spPr>
        <a:xfrm>
          <a:off x="11778545" y="644878"/>
          <a:ext cx="1136651" cy="67151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14</xdr:col>
      <xdr:colOff>301802</xdr:colOff>
      <xdr:row>4</xdr:row>
      <xdr:rowOff>9349</xdr:rowOff>
    </xdr:from>
    <xdr:to>
      <xdr:col>15</xdr:col>
      <xdr:colOff>676453</xdr:colOff>
      <xdr:row>6</xdr:row>
      <xdr:rowOff>262819</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A562F3B3-B115-404B-B7BC-258E3C6D92FC}"/>
            </a:ext>
          </a:extLst>
        </xdr:cNvPr>
        <xdr:cNvSpPr/>
      </xdr:nvSpPr>
      <xdr:spPr>
        <a:xfrm>
          <a:off x="13454240" y="588787"/>
          <a:ext cx="1128713" cy="66622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11</xdr:col>
      <xdr:colOff>171450</xdr:colOff>
      <xdr:row>0</xdr:row>
      <xdr:rowOff>50800</xdr:rowOff>
    </xdr:from>
    <xdr:to>
      <xdr:col>12</xdr:col>
      <xdr:colOff>421984</xdr:colOff>
      <xdr:row>4</xdr:row>
      <xdr:rowOff>23283</xdr:rowOff>
    </xdr:to>
    <xdr:pic>
      <xdr:nvPicPr>
        <xdr:cNvPr id="3" name="Grafik 2">
          <a:extLst>
            <a:ext uri="{FF2B5EF4-FFF2-40B4-BE49-F238E27FC236}">
              <a16:creationId xmlns:a16="http://schemas.microsoft.com/office/drawing/2014/main" id="{4DC84B13-FEF2-4251-B779-1AC5E0AC466C}"/>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0315575" y="50800"/>
          <a:ext cx="970201" cy="5439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20</xdr:col>
      <xdr:colOff>243416</xdr:colOff>
      <xdr:row>4</xdr:row>
      <xdr:rowOff>14111</xdr:rowOff>
    </xdr:from>
    <xdr:to>
      <xdr:col>21</xdr:col>
      <xdr:colOff>652463</xdr:colOff>
      <xdr:row>7</xdr:row>
      <xdr:rowOff>58206</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2BD181E3-A89D-4778-B437-9EE437DEB40A}"/>
            </a:ext>
          </a:extLst>
        </xdr:cNvPr>
        <xdr:cNvSpPr/>
      </xdr:nvSpPr>
      <xdr:spPr>
        <a:xfrm>
          <a:off x="13499041" y="585611"/>
          <a:ext cx="1163110" cy="639408"/>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editAs="oneCell">
    <xdr:from>
      <xdr:col>18</xdr:col>
      <xdr:colOff>317499</xdr:colOff>
      <xdr:row>0</xdr:row>
      <xdr:rowOff>0</xdr:rowOff>
    </xdr:from>
    <xdr:to>
      <xdr:col>20</xdr:col>
      <xdr:colOff>17700</xdr:colOff>
      <xdr:row>3</xdr:row>
      <xdr:rowOff>248179</xdr:rowOff>
    </xdr:to>
    <xdr:pic>
      <xdr:nvPicPr>
        <xdr:cNvPr id="3" name="Grafik 2">
          <a:extLst>
            <a:ext uri="{FF2B5EF4-FFF2-40B4-BE49-F238E27FC236}">
              <a16:creationId xmlns:a16="http://schemas.microsoft.com/office/drawing/2014/main" id="{F9852CEA-B287-4542-A568-37DD28E180FF}"/>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1834812" y="0"/>
          <a:ext cx="1033701" cy="54980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8</xdr:col>
      <xdr:colOff>444500</xdr:colOff>
      <xdr:row>3</xdr:row>
      <xdr:rowOff>21166</xdr:rowOff>
    </xdr:from>
    <xdr:to>
      <xdr:col>10</xdr:col>
      <xdr:colOff>63324</xdr:colOff>
      <xdr:row>6</xdr:row>
      <xdr:rowOff>61736</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88B00E24-3BC6-41FE-9CA7-CD25DA886228}"/>
            </a:ext>
          </a:extLst>
        </xdr:cNvPr>
        <xdr:cNvSpPr/>
      </xdr:nvSpPr>
      <xdr:spPr>
        <a:xfrm>
          <a:off x="10632722" y="437444"/>
          <a:ext cx="1128713" cy="668514"/>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331612</xdr:colOff>
      <xdr:row>3</xdr:row>
      <xdr:rowOff>42333</xdr:rowOff>
    </xdr:from>
    <xdr:to>
      <xdr:col>11</xdr:col>
      <xdr:colOff>706263</xdr:colOff>
      <xdr:row>6</xdr:row>
      <xdr:rowOff>186972</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854D9B32-FCD1-428E-B90B-144A91BD7059}"/>
            </a:ext>
          </a:extLst>
        </xdr:cNvPr>
        <xdr:cNvSpPr/>
      </xdr:nvSpPr>
      <xdr:spPr>
        <a:xfrm>
          <a:off x="8678334" y="747889"/>
          <a:ext cx="1136651" cy="66675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319439</xdr:colOff>
      <xdr:row>3</xdr:row>
      <xdr:rowOff>10231</xdr:rowOff>
    </xdr:from>
    <xdr:to>
      <xdr:col>14</xdr:col>
      <xdr:colOff>694090</xdr:colOff>
      <xdr:row>7</xdr:row>
      <xdr:rowOff>1763</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F10FF42F-F689-4861-8B6A-70CFBC243CDD}"/>
            </a:ext>
          </a:extLst>
        </xdr:cNvPr>
        <xdr:cNvSpPr/>
      </xdr:nvSpPr>
      <xdr:spPr>
        <a:xfrm>
          <a:off x="12511439" y="438856"/>
          <a:ext cx="1136651" cy="66622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341489</xdr:colOff>
      <xdr:row>3</xdr:row>
      <xdr:rowOff>23989</xdr:rowOff>
    </xdr:from>
    <xdr:to>
      <xdr:col>11</xdr:col>
      <xdr:colOff>716140</xdr:colOff>
      <xdr:row>7</xdr:row>
      <xdr:rowOff>18169</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E291B15F-A528-4773-9BE4-3F952D3C0B48}"/>
            </a:ext>
          </a:extLst>
        </xdr:cNvPr>
        <xdr:cNvSpPr/>
      </xdr:nvSpPr>
      <xdr:spPr>
        <a:xfrm>
          <a:off x="11383433" y="419100"/>
          <a:ext cx="1136651" cy="67151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17</xdr:col>
      <xdr:colOff>84666</xdr:colOff>
      <xdr:row>3</xdr:row>
      <xdr:rowOff>14111</xdr:rowOff>
    </xdr:from>
    <xdr:to>
      <xdr:col>18</xdr:col>
      <xdr:colOff>459317</xdr:colOff>
      <xdr:row>6</xdr:row>
      <xdr:rowOff>91194</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94E26949-AB65-4368-9F44-510A60187F44}"/>
            </a:ext>
          </a:extLst>
        </xdr:cNvPr>
        <xdr:cNvSpPr/>
      </xdr:nvSpPr>
      <xdr:spPr>
        <a:xfrm>
          <a:off x="11945055" y="416278"/>
          <a:ext cx="1136651" cy="676805"/>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46</xdr:col>
      <xdr:colOff>215635</xdr:colOff>
      <xdr:row>2</xdr:row>
      <xdr:rowOff>82022</xdr:rowOff>
    </xdr:from>
    <xdr:to>
      <xdr:col>47</xdr:col>
      <xdr:colOff>547953</xdr:colOff>
      <xdr:row>5</xdr:row>
      <xdr:rowOff>183005</xdr:rowOff>
    </xdr:to>
    <xdr:sp macro="" textlink="">
      <xdr:nvSpPr>
        <xdr:cNvPr id="7" name="Rechteck: abgeschrägt 6">
          <a:hlinkClick xmlns:r="http://schemas.openxmlformats.org/officeDocument/2006/relationships" r:id="rId1"/>
          <a:extLst>
            <a:ext uri="{FF2B5EF4-FFF2-40B4-BE49-F238E27FC236}">
              <a16:creationId xmlns:a16="http://schemas.microsoft.com/office/drawing/2014/main" id="{F7023BF7-31E8-4D90-808B-633CECEF15D2}"/>
            </a:ext>
          </a:extLst>
        </xdr:cNvPr>
        <xdr:cNvSpPr/>
      </xdr:nvSpPr>
      <xdr:spPr>
        <a:xfrm>
          <a:off x="18588302" y="590022"/>
          <a:ext cx="1136651" cy="651316"/>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13</xdr:col>
      <xdr:colOff>346529</xdr:colOff>
      <xdr:row>3</xdr:row>
      <xdr:rowOff>19957</xdr:rowOff>
    </xdr:from>
    <xdr:to>
      <xdr:col>14</xdr:col>
      <xdr:colOff>721180</xdr:colOff>
      <xdr:row>7</xdr:row>
      <xdr:rowOff>11113</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87B7F1A8-234C-4A16-B6D7-D63BFF882B28}"/>
            </a:ext>
          </a:extLst>
        </xdr:cNvPr>
        <xdr:cNvSpPr/>
      </xdr:nvSpPr>
      <xdr:spPr>
        <a:xfrm>
          <a:off x="13708743" y="654957"/>
          <a:ext cx="1136651" cy="67151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12</xdr:col>
      <xdr:colOff>180798</xdr:colOff>
      <xdr:row>2</xdr:row>
      <xdr:rowOff>69674</xdr:rowOff>
    </xdr:from>
    <xdr:to>
      <xdr:col>13</xdr:col>
      <xdr:colOff>562505</xdr:colOff>
      <xdr:row>6</xdr:row>
      <xdr:rowOff>180271</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BF83311C-6858-42BC-9D50-E7E43F69093B}"/>
            </a:ext>
          </a:extLst>
        </xdr:cNvPr>
        <xdr:cNvSpPr/>
      </xdr:nvSpPr>
      <xdr:spPr>
        <a:xfrm>
          <a:off x="9364486" y="609424"/>
          <a:ext cx="1135769" cy="67416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19</xdr:col>
      <xdr:colOff>319314</xdr:colOff>
      <xdr:row>3</xdr:row>
      <xdr:rowOff>0</xdr:rowOff>
    </xdr:from>
    <xdr:to>
      <xdr:col>20</xdr:col>
      <xdr:colOff>693965</xdr:colOff>
      <xdr:row>6</xdr:row>
      <xdr:rowOff>65543</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F8A9F560-3E6B-46CF-AB8C-7BE9EA0EA262}"/>
            </a:ext>
          </a:extLst>
        </xdr:cNvPr>
        <xdr:cNvSpPr/>
      </xdr:nvSpPr>
      <xdr:spPr>
        <a:xfrm>
          <a:off x="14470743" y="537029"/>
          <a:ext cx="1136651" cy="66244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19</xdr:col>
      <xdr:colOff>260350</xdr:colOff>
      <xdr:row>3</xdr:row>
      <xdr:rowOff>17688</xdr:rowOff>
    </xdr:from>
    <xdr:to>
      <xdr:col>20</xdr:col>
      <xdr:colOff>635001</xdr:colOff>
      <xdr:row>7</xdr:row>
      <xdr:rowOff>8846</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039DBDF5-22CC-4B89-889E-83014EF7B552}"/>
            </a:ext>
          </a:extLst>
        </xdr:cNvPr>
        <xdr:cNvSpPr/>
      </xdr:nvSpPr>
      <xdr:spPr>
        <a:xfrm>
          <a:off x="13547725" y="565376"/>
          <a:ext cx="1136651" cy="665845"/>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twoCellAnchor>
    <xdr:from>
      <xdr:col>2</xdr:col>
      <xdr:colOff>127000</xdr:colOff>
      <xdr:row>21</xdr:row>
      <xdr:rowOff>47625</xdr:rowOff>
    </xdr:from>
    <xdr:to>
      <xdr:col>4</xdr:col>
      <xdr:colOff>325438</xdr:colOff>
      <xdr:row>23</xdr:row>
      <xdr:rowOff>151875</xdr:rowOff>
    </xdr:to>
    <xdr:sp macro="" textlink="">
      <xdr:nvSpPr>
        <xdr:cNvPr id="4" name="Flussdiagramm: Dokument 3">
          <a:extLst>
            <a:ext uri="{FF2B5EF4-FFF2-40B4-BE49-F238E27FC236}">
              <a16:creationId xmlns:a16="http://schemas.microsoft.com/office/drawing/2014/main" id="{0558023F-A222-4B18-9972-E0B17EBA4F5D}"/>
            </a:ext>
          </a:extLst>
        </xdr:cNvPr>
        <xdr:cNvSpPr/>
      </xdr:nvSpPr>
      <xdr:spPr>
        <a:xfrm>
          <a:off x="323850" y="4029075"/>
          <a:ext cx="1277938" cy="612250"/>
        </a:xfrm>
        <a:prstGeom prst="flowChartDocument">
          <a:avLst/>
        </a:prstGeom>
        <a:solidFill>
          <a:schemeClr val="accent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Programmierung KI-Algorithmus </a:t>
          </a:r>
        </a:p>
      </xdr:txBody>
    </xdr:sp>
    <xdr:clientData/>
  </xdr:twoCellAnchor>
  <xdr:twoCellAnchor>
    <xdr:from>
      <xdr:col>2</xdr:col>
      <xdr:colOff>119062</xdr:colOff>
      <xdr:row>23</xdr:row>
      <xdr:rowOff>190500</xdr:rowOff>
    </xdr:from>
    <xdr:to>
      <xdr:col>4</xdr:col>
      <xdr:colOff>309562</xdr:colOff>
      <xdr:row>26</xdr:row>
      <xdr:rowOff>40750</xdr:rowOff>
    </xdr:to>
    <xdr:sp macro="" textlink="">
      <xdr:nvSpPr>
        <xdr:cNvPr id="5" name="Flussdiagramm: Dokument 4">
          <a:extLst>
            <a:ext uri="{FF2B5EF4-FFF2-40B4-BE49-F238E27FC236}">
              <a16:creationId xmlns:a16="http://schemas.microsoft.com/office/drawing/2014/main" id="{A045B71D-49A6-4B9E-BB5F-646089B0C4BA}"/>
            </a:ext>
          </a:extLst>
        </xdr:cNvPr>
        <xdr:cNvSpPr/>
      </xdr:nvSpPr>
      <xdr:spPr>
        <a:xfrm>
          <a:off x="315912" y="4679950"/>
          <a:ext cx="1270000" cy="612250"/>
        </a:xfrm>
        <a:prstGeom prst="flowChartDocument">
          <a:avLst/>
        </a:prstGeom>
        <a:solidFill>
          <a:schemeClr val="accent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Programmierung Bedienoberfläche </a:t>
          </a:r>
        </a:p>
      </xdr:txBody>
    </xdr:sp>
    <xdr:clientData/>
  </xdr:twoCellAnchor>
  <xdr:twoCellAnchor>
    <xdr:from>
      <xdr:col>2</xdr:col>
      <xdr:colOff>128587</xdr:colOff>
      <xdr:row>26</xdr:row>
      <xdr:rowOff>152400</xdr:rowOff>
    </xdr:from>
    <xdr:to>
      <xdr:col>4</xdr:col>
      <xdr:colOff>319087</xdr:colOff>
      <xdr:row>29</xdr:row>
      <xdr:rowOff>2650</xdr:rowOff>
    </xdr:to>
    <xdr:sp macro="" textlink="">
      <xdr:nvSpPr>
        <xdr:cNvPr id="6" name="Flussdiagramm: Dokument 5">
          <a:extLst>
            <a:ext uri="{FF2B5EF4-FFF2-40B4-BE49-F238E27FC236}">
              <a16:creationId xmlns:a16="http://schemas.microsoft.com/office/drawing/2014/main" id="{3EE6DE69-312E-4314-B03F-159457D32EBF}"/>
            </a:ext>
          </a:extLst>
        </xdr:cNvPr>
        <xdr:cNvSpPr/>
      </xdr:nvSpPr>
      <xdr:spPr>
        <a:xfrm>
          <a:off x="325437" y="5403850"/>
          <a:ext cx="1270000" cy="612250"/>
        </a:xfrm>
        <a:prstGeom prst="flowChartDocument">
          <a:avLst/>
        </a:prstGeom>
        <a:solidFill>
          <a:schemeClr val="accent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Programmierung Anwendungs-schnittstellen</a:t>
          </a:r>
        </a:p>
      </xdr:txBody>
    </xdr:sp>
    <xdr:clientData/>
  </xdr:twoCellAnchor>
  <xdr:twoCellAnchor>
    <xdr:from>
      <xdr:col>4</xdr:col>
      <xdr:colOff>463550</xdr:colOff>
      <xdr:row>21</xdr:row>
      <xdr:rowOff>50800</xdr:rowOff>
    </xdr:from>
    <xdr:to>
      <xdr:col>5</xdr:col>
      <xdr:colOff>574675</xdr:colOff>
      <xdr:row>23</xdr:row>
      <xdr:rowOff>155050</xdr:rowOff>
    </xdr:to>
    <xdr:sp macro="" textlink="">
      <xdr:nvSpPr>
        <xdr:cNvPr id="7" name="Flussdiagramm: Dokument 6">
          <a:extLst>
            <a:ext uri="{FF2B5EF4-FFF2-40B4-BE49-F238E27FC236}">
              <a16:creationId xmlns:a16="http://schemas.microsoft.com/office/drawing/2014/main" id="{B2BFD852-406B-4BD8-9B68-03AE080C2E20}"/>
            </a:ext>
          </a:extLst>
        </xdr:cNvPr>
        <xdr:cNvSpPr/>
      </xdr:nvSpPr>
      <xdr:spPr>
        <a:xfrm>
          <a:off x="1739900" y="4032250"/>
          <a:ext cx="1273175" cy="612250"/>
        </a:xfrm>
        <a:prstGeom prst="flowChartDocument">
          <a:avLst/>
        </a:prstGeom>
        <a:solidFill>
          <a:schemeClr val="accent4">
            <a:lumMod val="60000"/>
            <a:lumOff val="4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Prüfung und Strukturierung der Daten </a:t>
          </a:r>
        </a:p>
      </xdr:txBody>
    </xdr:sp>
    <xdr:clientData/>
  </xdr:twoCellAnchor>
  <xdr:twoCellAnchor>
    <xdr:from>
      <xdr:col>4</xdr:col>
      <xdr:colOff>441325</xdr:colOff>
      <xdr:row>23</xdr:row>
      <xdr:rowOff>219075</xdr:rowOff>
    </xdr:from>
    <xdr:to>
      <xdr:col>5</xdr:col>
      <xdr:colOff>552450</xdr:colOff>
      <xdr:row>26</xdr:row>
      <xdr:rowOff>69325</xdr:rowOff>
    </xdr:to>
    <xdr:sp macro="" textlink="">
      <xdr:nvSpPr>
        <xdr:cNvPr id="8" name="Flussdiagramm: Dokument 7">
          <a:extLst>
            <a:ext uri="{FF2B5EF4-FFF2-40B4-BE49-F238E27FC236}">
              <a16:creationId xmlns:a16="http://schemas.microsoft.com/office/drawing/2014/main" id="{FF51D1B7-A1E1-4CC8-8919-1520B932AE69}"/>
            </a:ext>
          </a:extLst>
        </xdr:cNvPr>
        <xdr:cNvSpPr/>
      </xdr:nvSpPr>
      <xdr:spPr>
        <a:xfrm>
          <a:off x="1717675" y="4708525"/>
          <a:ext cx="1273175" cy="612250"/>
        </a:xfrm>
        <a:prstGeom prst="flowChartDocument">
          <a:avLst/>
        </a:prstGeom>
        <a:solidFill>
          <a:schemeClr val="accent5">
            <a:lumMod val="60000"/>
            <a:lumOff val="4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Vorstellung des ersten Prototyps</a:t>
          </a:r>
        </a:p>
      </xdr:txBody>
    </xdr:sp>
    <xdr:clientData/>
  </xdr:twoCellAnchor>
  <xdr:twoCellAnchor>
    <xdr:from>
      <xdr:col>4</xdr:col>
      <xdr:colOff>434975</xdr:colOff>
      <xdr:row>26</xdr:row>
      <xdr:rowOff>149225</xdr:rowOff>
    </xdr:from>
    <xdr:to>
      <xdr:col>5</xdr:col>
      <xdr:colOff>546100</xdr:colOff>
      <xdr:row>28</xdr:row>
      <xdr:rowOff>253475</xdr:rowOff>
    </xdr:to>
    <xdr:sp macro="" textlink="">
      <xdr:nvSpPr>
        <xdr:cNvPr id="9" name="Flussdiagramm: Dokument 8">
          <a:extLst>
            <a:ext uri="{FF2B5EF4-FFF2-40B4-BE49-F238E27FC236}">
              <a16:creationId xmlns:a16="http://schemas.microsoft.com/office/drawing/2014/main" id="{41FD80E6-849F-454E-BD85-91C46267901D}"/>
            </a:ext>
          </a:extLst>
        </xdr:cNvPr>
        <xdr:cNvSpPr/>
      </xdr:nvSpPr>
      <xdr:spPr>
        <a:xfrm>
          <a:off x="1711325" y="5400675"/>
          <a:ext cx="1273175" cy="612250"/>
        </a:xfrm>
        <a:prstGeom prst="flowChartDocument">
          <a:avLst/>
        </a:prstGeom>
        <a:solidFill>
          <a:schemeClr val="accent6">
            <a:lumMod val="60000"/>
            <a:lumOff val="4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Systemintegration der Anwendung</a:t>
          </a:r>
        </a:p>
      </xdr:txBody>
    </xdr:sp>
    <xdr:clientData/>
  </xdr:twoCellAnchor>
  <xdr:twoCellAnchor>
    <xdr:from>
      <xdr:col>6</xdr:col>
      <xdr:colOff>428626</xdr:colOff>
      <xdr:row>21</xdr:row>
      <xdr:rowOff>220663</xdr:rowOff>
    </xdr:from>
    <xdr:to>
      <xdr:col>8</xdr:col>
      <xdr:colOff>46039</xdr:colOff>
      <xdr:row>24</xdr:row>
      <xdr:rowOff>70913</xdr:rowOff>
    </xdr:to>
    <xdr:sp macro="" textlink="">
      <xdr:nvSpPr>
        <xdr:cNvPr id="10" name="Flussdiagramm: Dokument 9">
          <a:extLst>
            <a:ext uri="{FF2B5EF4-FFF2-40B4-BE49-F238E27FC236}">
              <a16:creationId xmlns:a16="http://schemas.microsoft.com/office/drawing/2014/main" id="{22F35F52-771E-4A71-99D3-3C28D981EC4C}"/>
            </a:ext>
          </a:extLst>
        </xdr:cNvPr>
        <xdr:cNvSpPr/>
      </xdr:nvSpPr>
      <xdr:spPr>
        <a:xfrm>
          <a:off x="3746501" y="4221163"/>
          <a:ext cx="1236663" cy="612250"/>
        </a:xfrm>
        <a:prstGeom prst="flowChartDocumen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Modellierung des KI-Algorithmus</a:t>
          </a:r>
        </a:p>
      </xdr:txBody>
    </xdr:sp>
    <xdr:clientData/>
  </xdr:twoCellAnchor>
  <xdr:twoCellAnchor>
    <xdr:from>
      <xdr:col>10</xdr:col>
      <xdr:colOff>293689</xdr:colOff>
      <xdr:row>21</xdr:row>
      <xdr:rowOff>222250</xdr:rowOff>
    </xdr:from>
    <xdr:to>
      <xdr:col>11</xdr:col>
      <xdr:colOff>682626</xdr:colOff>
      <xdr:row>24</xdr:row>
      <xdr:rowOff>72500</xdr:rowOff>
    </xdr:to>
    <xdr:sp macro="" textlink="">
      <xdr:nvSpPr>
        <xdr:cNvPr id="11" name="Flussdiagramm: Dokument 10">
          <a:extLst>
            <a:ext uri="{FF2B5EF4-FFF2-40B4-BE49-F238E27FC236}">
              <a16:creationId xmlns:a16="http://schemas.microsoft.com/office/drawing/2014/main" id="{5DEC46A9-924D-4B83-A9AA-A5D1C68E039D}"/>
            </a:ext>
          </a:extLst>
        </xdr:cNvPr>
        <xdr:cNvSpPr/>
      </xdr:nvSpPr>
      <xdr:spPr>
        <a:xfrm>
          <a:off x="7145339" y="4203700"/>
          <a:ext cx="1271587" cy="612250"/>
        </a:xfrm>
        <a:prstGeom prst="flowChartDocumen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Modellierung der Datenbankstruktur</a:t>
          </a:r>
        </a:p>
      </xdr:txBody>
    </xdr:sp>
    <xdr:clientData/>
  </xdr:twoCellAnchor>
  <xdr:twoCellAnchor>
    <xdr:from>
      <xdr:col>14</xdr:col>
      <xdr:colOff>660401</xdr:colOff>
      <xdr:row>23</xdr:row>
      <xdr:rowOff>136525</xdr:rowOff>
    </xdr:from>
    <xdr:to>
      <xdr:col>16</xdr:col>
      <xdr:colOff>239713</xdr:colOff>
      <xdr:row>25</xdr:row>
      <xdr:rowOff>240775</xdr:rowOff>
    </xdr:to>
    <xdr:sp macro="" textlink="">
      <xdr:nvSpPr>
        <xdr:cNvPr id="12" name="Flussdiagramm: Dokument 11">
          <a:extLst>
            <a:ext uri="{FF2B5EF4-FFF2-40B4-BE49-F238E27FC236}">
              <a16:creationId xmlns:a16="http://schemas.microsoft.com/office/drawing/2014/main" id="{2347C40C-FDC0-41CC-AD23-54A06EC25000}"/>
            </a:ext>
          </a:extLst>
        </xdr:cNvPr>
        <xdr:cNvSpPr/>
      </xdr:nvSpPr>
      <xdr:spPr>
        <a:xfrm>
          <a:off x="10598151" y="4645025"/>
          <a:ext cx="1198562" cy="612250"/>
        </a:xfrm>
        <a:prstGeom prst="flowChartDocumen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Modellierung der IT-System-Architektur</a:t>
          </a:r>
        </a:p>
      </xdr:txBody>
    </xdr:sp>
    <xdr:clientData/>
  </xdr:twoCellAnchor>
  <xdr:twoCellAnchor>
    <xdr:from>
      <xdr:col>11</xdr:col>
      <xdr:colOff>388937</xdr:colOff>
      <xdr:row>25</xdr:row>
      <xdr:rowOff>134938</xdr:rowOff>
    </xdr:from>
    <xdr:to>
      <xdr:col>12</xdr:col>
      <xdr:colOff>777874</xdr:colOff>
      <xdr:row>27</xdr:row>
      <xdr:rowOff>239188</xdr:rowOff>
    </xdr:to>
    <xdr:sp macro="" textlink="">
      <xdr:nvSpPr>
        <xdr:cNvPr id="13" name="Flussdiagramm: Dokument 12">
          <a:extLst>
            <a:ext uri="{FF2B5EF4-FFF2-40B4-BE49-F238E27FC236}">
              <a16:creationId xmlns:a16="http://schemas.microsoft.com/office/drawing/2014/main" id="{A2E30B46-E7BA-4131-865B-7D4D49CD5298}"/>
            </a:ext>
          </a:extLst>
        </xdr:cNvPr>
        <xdr:cNvSpPr/>
      </xdr:nvSpPr>
      <xdr:spPr>
        <a:xfrm>
          <a:off x="7897812" y="5151438"/>
          <a:ext cx="1198562" cy="612250"/>
        </a:xfrm>
        <a:prstGeom prst="flowChartDocumen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Modellierung des Anwendungs-ablaufs</a:t>
          </a:r>
        </a:p>
      </xdr:txBody>
    </xdr:sp>
    <xdr:clientData/>
  </xdr:twoCellAnchor>
  <xdr:twoCellAnchor>
    <xdr:from>
      <xdr:col>7</xdr:col>
      <xdr:colOff>801687</xdr:colOff>
      <xdr:row>24</xdr:row>
      <xdr:rowOff>166687</xdr:rowOff>
    </xdr:from>
    <xdr:to>
      <xdr:col>9</xdr:col>
      <xdr:colOff>309562</xdr:colOff>
      <xdr:row>27</xdr:row>
      <xdr:rowOff>16937</xdr:rowOff>
    </xdr:to>
    <xdr:sp macro="" textlink="">
      <xdr:nvSpPr>
        <xdr:cNvPr id="14" name="Flussdiagramm: Dokument 13">
          <a:extLst>
            <a:ext uri="{FF2B5EF4-FFF2-40B4-BE49-F238E27FC236}">
              <a16:creationId xmlns:a16="http://schemas.microsoft.com/office/drawing/2014/main" id="{27A9FFC3-CD4D-4385-AE1E-D5B127238940}"/>
            </a:ext>
          </a:extLst>
        </xdr:cNvPr>
        <xdr:cNvSpPr/>
      </xdr:nvSpPr>
      <xdr:spPr>
        <a:xfrm>
          <a:off x="5005387" y="4910137"/>
          <a:ext cx="1273175" cy="612250"/>
        </a:xfrm>
        <a:prstGeom prst="flowChartDocumen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e-DE" sz="1000">
              <a:solidFill>
                <a:sysClr val="windowText" lastClr="000000"/>
              </a:solidFill>
              <a:latin typeface="Arial" panose="020B0604020202020204" pitchFamily="34" charset="0"/>
              <a:cs typeface="Arial" panose="020B0604020202020204" pitchFamily="34" charset="0"/>
            </a:rPr>
            <a:t>Modellierung der Bedienungs-schnittstellen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17</xdr:col>
      <xdr:colOff>186267</xdr:colOff>
      <xdr:row>3</xdr:row>
      <xdr:rowOff>1814</xdr:rowOff>
    </xdr:from>
    <xdr:to>
      <xdr:col>18</xdr:col>
      <xdr:colOff>560918</xdr:colOff>
      <xdr:row>7</xdr:row>
      <xdr:rowOff>42360</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066C93CC-172D-4AC1-907D-C0CC16BF0BC2}"/>
            </a:ext>
          </a:extLst>
        </xdr:cNvPr>
        <xdr:cNvSpPr/>
      </xdr:nvSpPr>
      <xdr:spPr>
        <a:xfrm>
          <a:off x="12018434" y="587425"/>
          <a:ext cx="1136651" cy="703768"/>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23</xdr:col>
      <xdr:colOff>165100</xdr:colOff>
      <xdr:row>3</xdr:row>
      <xdr:rowOff>1814</xdr:rowOff>
    </xdr:from>
    <xdr:to>
      <xdr:col>24</xdr:col>
      <xdr:colOff>539751</xdr:colOff>
      <xdr:row>6</xdr:row>
      <xdr:rowOff>72347</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3F54A949-46FF-4B6E-B2C7-4BD21FA4962D}"/>
            </a:ext>
          </a:extLst>
        </xdr:cNvPr>
        <xdr:cNvSpPr/>
      </xdr:nvSpPr>
      <xdr:spPr>
        <a:xfrm>
          <a:off x="13706475" y="549502"/>
          <a:ext cx="1136651" cy="665845"/>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11</xdr:col>
      <xdr:colOff>228601</xdr:colOff>
      <xdr:row>3</xdr:row>
      <xdr:rowOff>9877</xdr:rowOff>
    </xdr:from>
    <xdr:to>
      <xdr:col>12</xdr:col>
      <xdr:colOff>603252</xdr:colOff>
      <xdr:row>7</xdr:row>
      <xdr:rowOff>4057</xdr:rowOff>
    </xdr:to>
    <xdr:sp macro="" textlink="">
      <xdr:nvSpPr>
        <xdr:cNvPr id="3" name="Rechteck: abgeschrägt 2">
          <a:hlinkClick xmlns:r="http://schemas.openxmlformats.org/officeDocument/2006/relationships" r:id="rId1"/>
          <a:extLst>
            <a:ext uri="{FF2B5EF4-FFF2-40B4-BE49-F238E27FC236}">
              <a16:creationId xmlns:a16="http://schemas.microsoft.com/office/drawing/2014/main" id="{5AB4ACB7-626B-4486-9F8A-E5D7250E6D23}"/>
            </a:ext>
          </a:extLst>
        </xdr:cNvPr>
        <xdr:cNvSpPr/>
      </xdr:nvSpPr>
      <xdr:spPr>
        <a:xfrm>
          <a:off x="11750323" y="644877"/>
          <a:ext cx="1136651" cy="671513"/>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14</xdr:col>
      <xdr:colOff>190676</xdr:colOff>
      <xdr:row>3</xdr:row>
      <xdr:rowOff>9349</xdr:rowOff>
    </xdr:from>
    <xdr:to>
      <xdr:col>15</xdr:col>
      <xdr:colOff>565327</xdr:colOff>
      <xdr:row>5</xdr:row>
      <xdr:rowOff>262819</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3BEDDFD9-5EC8-40D9-9CCC-B1397438A897}"/>
            </a:ext>
          </a:extLst>
        </xdr:cNvPr>
        <xdr:cNvSpPr/>
      </xdr:nvSpPr>
      <xdr:spPr>
        <a:xfrm>
          <a:off x="13128801" y="588787"/>
          <a:ext cx="1128714" cy="666220"/>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20</xdr:col>
      <xdr:colOff>211665</xdr:colOff>
      <xdr:row>3</xdr:row>
      <xdr:rowOff>268111</xdr:rowOff>
    </xdr:from>
    <xdr:to>
      <xdr:col>21</xdr:col>
      <xdr:colOff>620712</xdr:colOff>
      <xdr:row>7</xdr:row>
      <xdr:rowOff>42331</xdr:rowOff>
    </xdr:to>
    <xdr:sp macro="" textlink="">
      <xdr:nvSpPr>
        <xdr:cNvPr id="2" name="Rechteck: abgeschrägt 1">
          <a:hlinkClick xmlns:r="http://schemas.openxmlformats.org/officeDocument/2006/relationships" r:id="rId1"/>
          <a:extLst>
            <a:ext uri="{FF2B5EF4-FFF2-40B4-BE49-F238E27FC236}">
              <a16:creationId xmlns:a16="http://schemas.microsoft.com/office/drawing/2014/main" id="{1C504D1D-22BF-4DF1-8EB0-01DF64C945B9}"/>
            </a:ext>
          </a:extLst>
        </xdr:cNvPr>
        <xdr:cNvSpPr/>
      </xdr:nvSpPr>
      <xdr:spPr>
        <a:xfrm>
          <a:off x="13467290" y="569736"/>
          <a:ext cx="1163110" cy="639408"/>
        </a:xfrm>
        <a:prstGeom prst="bevel">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latin typeface="Arial" panose="020B0604020202020204" pitchFamily="34" charset="0"/>
              <a:cs typeface="Arial" panose="020B0604020202020204" pitchFamily="34" charset="0"/>
            </a:rPr>
            <a:t>Zurück </a:t>
          </a:r>
          <a:r>
            <a:rPr lang="de-DE" sz="1600" b="1" baseline="0">
              <a:latin typeface="Arial" panose="020B0604020202020204" pitchFamily="34" charset="0"/>
              <a:cs typeface="Arial" panose="020B0604020202020204" pitchFamily="34" charset="0"/>
            </a:rPr>
            <a:t> </a:t>
          </a:r>
          <a:r>
            <a:rPr lang="de-DE" sz="1400" b="0" baseline="0">
              <a:latin typeface="Arial" panose="020B0604020202020204" pitchFamily="34" charset="0"/>
              <a:cs typeface="Arial" panose="020B0604020202020204" pitchFamily="34" charset="0"/>
            </a:rPr>
            <a:t>Übersicht</a:t>
          </a:r>
          <a:endParaRPr lang="de-DE" sz="1400" b="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0DD7-EBF7-49B7-9930-65D205B50228}">
  <sheetPr>
    <pageSetUpPr fitToPage="1"/>
  </sheetPr>
  <dimension ref="B1:P99"/>
  <sheetViews>
    <sheetView showGridLines="0" showRowColHeaders="0" tabSelected="1" zoomScale="80" zoomScaleNormal="80" workbookViewId="0">
      <selection activeCell="M22" sqref="M22"/>
    </sheetView>
  </sheetViews>
  <sheetFormatPr defaultColWidth="10.85546875" defaultRowHeight="15"/>
  <cols>
    <col min="1" max="1" width="4.140625" style="1" customWidth="1"/>
    <col min="2" max="2" width="8" style="66" customWidth="1"/>
    <col min="3" max="3" width="31.85546875" style="7" customWidth="1"/>
    <col min="4" max="5" width="15.5703125" style="7" customWidth="1"/>
    <col min="6" max="6" width="10.85546875" style="7"/>
    <col min="7" max="7" width="11.5703125" style="7" customWidth="1"/>
    <col min="8" max="8" width="15.5703125" style="7" customWidth="1"/>
    <col min="9" max="16" width="11.5703125" style="1" customWidth="1"/>
    <col min="17" max="16384" width="10.85546875" style="1"/>
  </cols>
  <sheetData>
    <row r="1" spans="2:16" ht="6" customHeight="1"/>
    <row r="2" spans="2:16" ht="20.100000000000001" customHeight="1">
      <c r="B2" s="351" t="s">
        <v>0</v>
      </c>
    </row>
    <row r="3" spans="2:16" ht="20.100000000000001" customHeight="1">
      <c r="B3" s="352" t="s">
        <v>1</v>
      </c>
    </row>
    <row r="4" spans="2:16" ht="6" customHeight="1">
      <c r="B4" s="67"/>
      <c r="C4" s="30"/>
      <c r="D4" s="30"/>
      <c r="E4" s="30"/>
    </row>
    <row r="5" spans="2:16" ht="18">
      <c r="B5" s="450" t="s">
        <v>2</v>
      </c>
      <c r="C5" s="451"/>
      <c r="D5" s="452" t="s">
        <v>3</v>
      </c>
      <c r="E5" s="453"/>
      <c r="F5" s="72"/>
      <c r="G5" s="359" t="s">
        <v>4</v>
      </c>
      <c r="H5" s="355"/>
      <c r="I5" s="356"/>
      <c r="J5" s="356"/>
      <c r="K5" s="356"/>
      <c r="L5" s="356"/>
      <c r="M5" s="356"/>
      <c r="N5" s="356"/>
      <c r="O5" s="356"/>
      <c r="P5" s="357"/>
    </row>
    <row r="6" spans="2:16" ht="20.100000000000001" customHeight="1">
      <c r="B6" s="436" t="s">
        <v>5</v>
      </c>
      <c r="C6" s="446" t="s">
        <v>6</v>
      </c>
      <c r="D6" s="211" t="s">
        <v>7</v>
      </c>
      <c r="E6" s="137" t="s">
        <v>8</v>
      </c>
      <c r="G6" s="360" t="s">
        <v>9</v>
      </c>
      <c r="H6" s="358"/>
      <c r="I6" s="20"/>
      <c r="J6" s="20"/>
      <c r="K6" s="20"/>
      <c r="L6" s="20"/>
      <c r="M6" s="20"/>
      <c r="N6" s="20"/>
      <c r="O6" s="20"/>
      <c r="P6" s="22"/>
    </row>
    <row r="7" spans="2:16" ht="26.1" customHeight="1">
      <c r="B7" s="69" t="s">
        <v>10</v>
      </c>
      <c r="C7" s="212" t="s">
        <v>11</v>
      </c>
      <c r="D7" s="212"/>
      <c r="E7" s="60"/>
      <c r="G7" s="375"/>
      <c r="H7" s="376"/>
      <c r="I7" s="37"/>
      <c r="J7" s="37"/>
      <c r="K7" s="37"/>
      <c r="L7" s="37"/>
      <c r="M7" s="37"/>
      <c r="N7" s="377"/>
      <c r="O7" s="37"/>
      <c r="P7" s="53"/>
    </row>
    <row r="8" spans="2:16" s="2" customFormat="1" ht="26.1" customHeight="1">
      <c r="B8" s="63" t="s">
        <v>12</v>
      </c>
      <c r="C8" s="210" t="s">
        <v>13</v>
      </c>
      <c r="D8" s="210"/>
      <c r="E8" s="61"/>
      <c r="F8" s="7"/>
      <c r="G8" s="378"/>
      <c r="H8" s="7"/>
      <c r="P8" s="379"/>
    </row>
    <row r="9" spans="2:16" ht="26.1" customHeight="1">
      <c r="B9" s="62" t="s">
        <v>14</v>
      </c>
      <c r="C9" s="209" t="s">
        <v>15</v>
      </c>
      <c r="D9" s="209"/>
      <c r="E9" s="60"/>
      <c r="G9" s="378"/>
      <c r="P9" s="40"/>
    </row>
    <row r="10" spans="2:16" ht="26.1" customHeight="1">
      <c r="B10" s="63" t="s">
        <v>16</v>
      </c>
      <c r="C10" s="210" t="s">
        <v>17</v>
      </c>
      <c r="D10" s="210"/>
      <c r="E10" s="61"/>
      <c r="G10" s="378"/>
      <c r="P10" s="40"/>
    </row>
    <row r="11" spans="2:16" ht="26.1" customHeight="1">
      <c r="B11" s="64" t="s">
        <v>18</v>
      </c>
      <c r="C11" s="209" t="s">
        <v>19</v>
      </c>
      <c r="D11" s="209"/>
      <c r="E11" s="60"/>
      <c r="G11" s="378"/>
      <c r="N11" s="380"/>
      <c r="P11" s="40"/>
    </row>
    <row r="12" spans="2:16" ht="26.1" customHeight="1">
      <c r="B12" s="65" t="s">
        <v>20</v>
      </c>
      <c r="C12" s="210" t="s">
        <v>21</v>
      </c>
      <c r="D12" s="210"/>
      <c r="E12" s="61"/>
      <c r="G12" s="378"/>
      <c r="P12" s="40"/>
    </row>
    <row r="13" spans="2:16" ht="26.1" customHeight="1">
      <c r="B13" s="64" t="s">
        <v>22</v>
      </c>
      <c r="C13" s="209" t="s">
        <v>23</v>
      </c>
      <c r="D13" s="209"/>
      <c r="E13" s="60"/>
      <c r="G13" s="378"/>
      <c r="P13" s="40"/>
    </row>
    <row r="14" spans="2:16" ht="26.1" customHeight="1">
      <c r="B14" s="63" t="s">
        <v>24</v>
      </c>
      <c r="C14" s="210" t="s">
        <v>25</v>
      </c>
      <c r="D14" s="210"/>
      <c r="E14" s="61"/>
      <c r="G14" s="378"/>
      <c r="P14" s="40"/>
    </row>
    <row r="15" spans="2:16" ht="26.1" customHeight="1">
      <c r="B15" s="64" t="s">
        <v>26</v>
      </c>
      <c r="C15" s="209" t="s">
        <v>27</v>
      </c>
      <c r="D15" s="209"/>
      <c r="E15" s="60"/>
      <c r="G15" s="378"/>
      <c r="P15" s="40"/>
    </row>
    <row r="16" spans="2:16" ht="26.1" customHeight="1">
      <c r="B16" s="63" t="s">
        <v>28</v>
      </c>
      <c r="C16" s="210" t="s">
        <v>29</v>
      </c>
      <c r="D16" s="210"/>
      <c r="E16" s="61"/>
      <c r="G16" s="378"/>
      <c r="P16" s="40"/>
    </row>
    <row r="17" spans="2:16" ht="26.1" customHeight="1">
      <c r="B17" s="64" t="s">
        <v>30</v>
      </c>
      <c r="C17" s="209" t="s">
        <v>31</v>
      </c>
      <c r="D17" s="209"/>
      <c r="E17" s="60"/>
      <c r="G17" s="378"/>
      <c r="P17" s="40"/>
    </row>
    <row r="18" spans="2:16" ht="26.1" customHeight="1">
      <c r="B18" s="63" t="s">
        <v>32</v>
      </c>
      <c r="C18" s="210" t="s">
        <v>33</v>
      </c>
      <c r="D18" s="210"/>
      <c r="E18" s="61"/>
      <c r="G18" s="381"/>
      <c r="H18" s="382"/>
      <c r="I18" s="55"/>
      <c r="J18" s="55"/>
      <c r="K18" s="55"/>
      <c r="L18" s="55"/>
      <c r="M18" s="55"/>
      <c r="N18" s="55"/>
      <c r="O18" s="55"/>
      <c r="P18" s="57"/>
    </row>
    <row r="19" spans="2:16" ht="26.1" customHeight="1">
      <c r="B19" s="64" t="s">
        <v>34</v>
      </c>
      <c r="C19" s="209" t="s">
        <v>35</v>
      </c>
      <c r="D19" s="209"/>
      <c r="E19" s="60"/>
      <c r="F19" s="107"/>
      <c r="G19" s="108" t="s">
        <v>36</v>
      </c>
      <c r="H19" s="353">
        <v>44936</v>
      </c>
    </row>
    <row r="20" spans="2:16" ht="26.1" customHeight="1">
      <c r="B20" s="63" t="s">
        <v>37</v>
      </c>
      <c r="C20" s="210" t="s">
        <v>38</v>
      </c>
      <c r="D20" s="210"/>
      <c r="E20" s="61"/>
      <c r="F20" s="107"/>
      <c r="G20" s="108"/>
      <c r="H20" s="354" t="s">
        <v>39</v>
      </c>
    </row>
    <row r="21" spans="2:16" ht="26.1" customHeight="1">
      <c r="B21" s="105" t="s">
        <v>40</v>
      </c>
      <c r="C21" s="213" t="s">
        <v>41</v>
      </c>
      <c r="D21" s="213"/>
      <c r="E21" s="106"/>
      <c r="F21" s="107"/>
      <c r="G21" s="108"/>
      <c r="H21" s="354" t="s">
        <v>42</v>
      </c>
    </row>
    <row r="22" spans="2:16" ht="11.1" customHeight="1">
      <c r="B22" s="70"/>
      <c r="C22" s="71"/>
      <c r="D22" s="71"/>
      <c r="E22" s="71"/>
      <c r="F22" s="67"/>
      <c r="G22" s="31"/>
    </row>
    <row r="23" spans="2:16" ht="20.100000000000001" customHeight="1">
      <c r="B23" s="68"/>
      <c r="C23" s="29"/>
      <c r="D23" s="29"/>
      <c r="E23" s="29"/>
    </row>
    <row r="24" spans="2:16" ht="17.100000000000001" customHeight="1">
      <c r="B24" s="67"/>
      <c r="C24" s="29"/>
      <c r="D24" s="29"/>
      <c r="E24" s="29"/>
    </row>
    <row r="25" spans="2:16" ht="17.45" customHeight="1">
      <c r="B25" s="67"/>
      <c r="C25" s="31"/>
      <c r="D25" s="31"/>
      <c r="E25" s="31"/>
    </row>
    <row r="26" spans="2:16" ht="20.100000000000001" customHeight="1"/>
    <row r="27" spans="2:16" ht="12.6" customHeight="1"/>
    <row r="28" spans="2:16" ht="12.6" customHeight="1"/>
    <row r="29" spans="2:16" ht="12.6" customHeight="1"/>
    <row r="30" spans="2:16" ht="12.6" customHeight="1"/>
    <row r="31" spans="2:16" ht="12.6" customHeight="1"/>
    <row r="32" spans="2:16" ht="12.6" customHeight="1"/>
    <row r="33" ht="12.6" customHeight="1"/>
    <row r="34" ht="12.6" customHeight="1"/>
    <row r="35" ht="12.6" customHeight="1"/>
    <row r="36" ht="12.6" customHeight="1"/>
    <row r="37" ht="12.6" customHeight="1"/>
    <row r="38" ht="12.6" customHeight="1"/>
    <row r="39" ht="12.6" customHeight="1"/>
    <row r="40" ht="12.6" customHeight="1"/>
    <row r="41" ht="12.6" customHeight="1"/>
    <row r="42" ht="12.6" customHeight="1"/>
    <row r="43" ht="12.6" customHeight="1"/>
    <row r="44" ht="12.6" customHeight="1"/>
    <row r="45" ht="12.6" customHeight="1"/>
    <row r="46" ht="12.6" customHeight="1"/>
    <row r="47" ht="12.6" customHeight="1"/>
    <row r="48"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sheetData>
  <sheetProtection algorithmName="SHA-512" hashValue="DdVoobLdc6ZPOG1N9REBthvwZ/B0mS68YaoPI6weSYz7XxiItpNVVxV899uZUoYHB/vp1rOxyuAGnFsSlKsx4A==" saltValue="Lx5V1TqW5s2nvug1h117PA==" spinCount="100000" sheet="1" objects="1" scenarios="1"/>
  <mergeCells count="2">
    <mergeCell ref="B5:C5"/>
    <mergeCell ref="D5:E5"/>
  </mergeCells>
  <hyperlinks>
    <hyperlink ref="C7" location="'1-0'!A1" display="KI-Kernteam" xr:uid="{4AB43F8D-0639-45FE-89A7-19A4063754C6}"/>
    <hyperlink ref="C10" location="'2-1'!A1" display="KI-Möglichkeiten" xr:uid="{59E5096F-1144-43E0-BD7A-C0B0D197C42E}"/>
    <hyperlink ref="C11" location="'2-2'!A1" display="KI-Potenziale" xr:uid="{A7885142-E06D-415E-8060-643668C0DCB7}"/>
    <hyperlink ref="C13" location="'3-1'!A1" display="KI-Machbarkeit" xr:uid="{62AC7DA5-AE6C-4D74-ACEE-9D4698B107EB}"/>
    <hyperlink ref="C17" location="'4-2'!A1" display="KI-Einführung" xr:uid="{0B0FC96D-B17E-4163-B4D3-DE769A7B392B}"/>
    <hyperlink ref="C18" location="'4-3'!A1" display="KI-Anwendung" xr:uid="{413D7144-6F42-486D-B393-0E38E62E0EE6}"/>
    <hyperlink ref="C19" location="'5-1'!A1" display="KI-Anpassung" xr:uid="{5762067E-CA2C-4DC9-848C-CA11E9FCFF3C}"/>
    <hyperlink ref="C12" location="'2-3'!A1" display="KI-Auswahl" xr:uid="{411C9DCD-52EE-4595-8793-41CF834A8D87}"/>
    <hyperlink ref="C8" location="'1-1'!A1" display="KI-Bedarf" xr:uid="{9EC55C64-9A92-4DCB-92F1-A6B5CF55B6F8}"/>
    <hyperlink ref="C9" location="'1-2'!A1" display="KI-Ziele" xr:uid="{4088F452-4C17-4D4B-90AD-82D019B58B76}"/>
    <hyperlink ref="C16" location="'4-1'!A1" display="KI-Entwicklung" xr:uid="{652F504D-26B1-4D7B-A4E1-7FF450A744E7}"/>
    <hyperlink ref="C15" location="'3-3'!A1" display="KI-Konzept" xr:uid="{F8A50FBE-D310-47DD-B8FA-5E7B909E17A0}"/>
    <hyperlink ref="C21" location="'5-3'!A1" display="KI-Entscheidung" xr:uid="{41AAAABC-5F5D-4A76-98AE-418AB4485164}"/>
    <hyperlink ref="C20" location="'5-2'!A1" display="KI-Erfolg" xr:uid="{F352F302-156F-415D-AA09-40E0C59D648A}"/>
    <hyperlink ref="C14" location="'3-2'!A1" display="KI-Machbarkeit" xr:uid="{A841267A-A92E-40B4-AB76-E3E7583FB7E7}"/>
  </hyperlinks>
  <pageMargins left="0.70866141732283472" right="0.51181102362204722" top="0.59055118110236227" bottom="0.59055118110236227" header="0.31496062992125984" footer="0.31496062992125984"/>
  <pageSetup paperSize="9" scale="74"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4F24-C8FE-485F-B569-66B6ED3628D4}">
  <sheetPr>
    <pageSetUpPr fitToPage="1"/>
  </sheetPr>
  <dimension ref="B1:J25"/>
  <sheetViews>
    <sheetView showGridLines="0" showRowColHeaders="0" zoomScale="90" zoomScaleNormal="90" workbookViewId="0"/>
  </sheetViews>
  <sheetFormatPr defaultColWidth="10.85546875" defaultRowHeight="12.75"/>
  <cols>
    <col min="1" max="1" width="2" style="1" customWidth="1"/>
    <col min="2" max="2" width="5.42578125" style="1" customWidth="1"/>
    <col min="3" max="3" width="14.42578125" style="1" customWidth="1"/>
    <col min="4" max="4" width="24.42578125" style="1" customWidth="1"/>
    <col min="5" max="5" width="26.5703125" style="1" customWidth="1"/>
    <col min="6" max="8" width="25.5703125" style="1" customWidth="1"/>
    <col min="9" max="16384" width="10.85546875" style="1"/>
  </cols>
  <sheetData>
    <row r="1" spans="2:10" ht="6.6" customHeight="1"/>
    <row r="2" spans="2:10" ht="16.5" customHeight="1">
      <c r="B2" s="421" t="s">
        <v>11</v>
      </c>
      <c r="F2" s="3"/>
      <c r="G2" s="4"/>
      <c r="H2" s="3"/>
    </row>
    <row r="3" spans="2:10" s="8" customFormat="1" ht="17.100000000000001" customHeight="1">
      <c r="B3" s="422" t="s">
        <v>43</v>
      </c>
      <c r="C3" s="422"/>
      <c r="D3" s="422"/>
      <c r="E3" s="422"/>
      <c r="F3" s="422"/>
      <c r="G3" s="422"/>
      <c r="H3" s="422"/>
      <c r="I3" s="422"/>
      <c r="J3" s="24"/>
    </row>
    <row r="4" spans="2:10" ht="21" customHeight="1">
      <c r="B4" s="76" t="s">
        <v>44</v>
      </c>
      <c r="C4" s="77"/>
      <c r="D4" s="77"/>
      <c r="E4" s="77"/>
      <c r="F4" s="23"/>
      <c r="G4" s="78"/>
      <c r="H4" s="23"/>
    </row>
    <row r="5" spans="2:10" ht="5.0999999999999996" customHeight="1">
      <c r="B5" s="12"/>
      <c r="C5" s="13"/>
      <c r="D5" s="13"/>
      <c r="E5" s="13"/>
      <c r="F5" s="14"/>
      <c r="G5" s="13"/>
      <c r="H5" s="13"/>
    </row>
    <row r="6" spans="2:10" ht="20.100000000000001" customHeight="1">
      <c r="B6" s="16"/>
      <c r="C6" s="419" t="s">
        <v>45</v>
      </c>
      <c r="D6" s="454"/>
      <c r="E6" s="455"/>
      <c r="F6" s="419" t="s">
        <v>46</v>
      </c>
      <c r="G6" s="75"/>
      <c r="H6" s="17"/>
    </row>
    <row r="7" spans="2:10" ht="5.45" customHeight="1">
      <c r="B7" s="19"/>
      <c r="C7" s="20"/>
      <c r="D7" s="20"/>
      <c r="E7" s="20"/>
      <c r="F7" s="21"/>
      <c r="G7" s="20"/>
      <c r="H7" s="20"/>
    </row>
    <row r="8" spans="2:10" ht="20.100000000000001" customHeight="1">
      <c r="B8" s="424" t="s">
        <v>5</v>
      </c>
      <c r="C8" s="460" t="s">
        <v>47</v>
      </c>
      <c r="D8" s="461"/>
      <c r="E8" s="426" t="s">
        <v>48</v>
      </c>
      <c r="F8" s="426" t="s">
        <v>49</v>
      </c>
      <c r="G8" s="426" t="s">
        <v>50</v>
      </c>
      <c r="H8" s="426" t="s">
        <v>51</v>
      </c>
    </row>
    <row r="9" spans="2:10" ht="18" customHeight="1">
      <c r="B9" s="426">
        <v>1</v>
      </c>
      <c r="C9" s="462"/>
      <c r="D9" s="463"/>
      <c r="E9" s="9"/>
      <c r="F9" s="9"/>
      <c r="G9" s="9"/>
      <c r="H9" s="9"/>
    </row>
    <row r="10" spans="2:10" ht="18" customHeight="1">
      <c r="B10" s="426">
        <f>B9+1</f>
        <v>2</v>
      </c>
      <c r="C10" s="462"/>
      <c r="D10" s="463"/>
      <c r="E10" s="9"/>
      <c r="F10" s="9"/>
      <c r="G10" s="9"/>
      <c r="H10" s="9"/>
    </row>
    <row r="11" spans="2:10" ht="18" customHeight="1">
      <c r="B11" s="426">
        <f t="shared" ref="B11:B18" si="0">B10+1</f>
        <v>3</v>
      </c>
      <c r="C11" s="462"/>
      <c r="D11" s="463"/>
      <c r="E11" s="9"/>
      <c r="F11" s="9"/>
      <c r="G11" s="9"/>
      <c r="H11" s="9"/>
    </row>
    <row r="12" spans="2:10" ht="18" customHeight="1">
      <c r="B12" s="426">
        <f t="shared" si="0"/>
        <v>4</v>
      </c>
      <c r="C12" s="462"/>
      <c r="D12" s="463"/>
      <c r="E12" s="9"/>
      <c r="F12" s="9"/>
      <c r="G12" s="9"/>
      <c r="H12" s="9"/>
    </row>
    <row r="13" spans="2:10" ht="18" customHeight="1">
      <c r="B13" s="426">
        <f t="shared" si="0"/>
        <v>5</v>
      </c>
      <c r="C13" s="462"/>
      <c r="D13" s="463"/>
      <c r="E13" s="9"/>
      <c r="F13" s="9"/>
      <c r="G13" s="9"/>
      <c r="H13" s="9"/>
    </row>
    <row r="14" spans="2:10" ht="18" customHeight="1">
      <c r="B14" s="426">
        <f t="shared" si="0"/>
        <v>6</v>
      </c>
      <c r="C14" s="462"/>
      <c r="D14" s="463"/>
      <c r="E14" s="9"/>
      <c r="F14" s="9"/>
      <c r="G14" s="9"/>
      <c r="H14" s="9"/>
    </row>
    <row r="15" spans="2:10" ht="18" customHeight="1">
      <c r="B15" s="426">
        <f t="shared" si="0"/>
        <v>7</v>
      </c>
      <c r="C15" s="462"/>
      <c r="D15" s="463"/>
      <c r="E15" s="9"/>
      <c r="F15" s="9"/>
      <c r="G15" s="9"/>
      <c r="H15" s="9"/>
    </row>
    <row r="16" spans="2:10" ht="18" customHeight="1">
      <c r="B16" s="426">
        <f t="shared" si="0"/>
        <v>8</v>
      </c>
      <c r="C16" s="462"/>
      <c r="D16" s="463"/>
      <c r="E16" s="9"/>
      <c r="F16" s="9"/>
      <c r="G16" s="9"/>
      <c r="H16" s="9"/>
    </row>
    <row r="17" spans="2:8" ht="18" customHeight="1">
      <c r="B17" s="426">
        <f t="shared" si="0"/>
        <v>9</v>
      </c>
      <c r="C17" s="462"/>
      <c r="D17" s="463"/>
      <c r="E17" s="9"/>
      <c r="F17" s="9"/>
      <c r="G17" s="9"/>
      <c r="H17" s="9"/>
    </row>
    <row r="18" spans="2:8" ht="18" customHeight="1">
      <c r="B18" s="426">
        <f t="shared" si="0"/>
        <v>10</v>
      </c>
      <c r="C18" s="462"/>
      <c r="D18" s="463"/>
      <c r="E18" s="9"/>
      <c r="F18" s="9"/>
      <c r="G18" s="9"/>
      <c r="H18" s="9"/>
    </row>
    <row r="19" spans="2:8" ht="20.100000000000001" customHeight="1">
      <c r="B19" s="456" t="s">
        <v>52</v>
      </c>
      <c r="C19" s="457"/>
      <c r="D19" s="457"/>
      <c r="E19" s="457"/>
      <c r="F19" s="457"/>
      <c r="G19" s="457"/>
      <c r="H19" s="457"/>
    </row>
    <row r="20" spans="2:8" ht="15">
      <c r="B20" s="424" t="s">
        <v>5</v>
      </c>
      <c r="C20" s="460" t="s">
        <v>53</v>
      </c>
      <c r="D20" s="461"/>
      <c r="E20" s="426" t="s">
        <v>54</v>
      </c>
      <c r="F20" s="426" t="s">
        <v>55</v>
      </c>
      <c r="G20" s="426" t="s">
        <v>50</v>
      </c>
      <c r="H20" s="426" t="s">
        <v>51</v>
      </c>
    </row>
    <row r="21" spans="2:8" ht="18" customHeight="1">
      <c r="B21" s="426">
        <v>1</v>
      </c>
      <c r="C21" s="458"/>
      <c r="D21" s="459"/>
      <c r="E21" s="73"/>
      <c r="F21" s="73"/>
      <c r="G21" s="73"/>
      <c r="H21" s="74"/>
    </row>
    <row r="22" spans="2:8" ht="18" customHeight="1">
      <c r="B22" s="426">
        <f>B21+1</f>
        <v>2</v>
      </c>
      <c r="C22" s="458"/>
      <c r="D22" s="459"/>
      <c r="E22" s="73"/>
      <c r="F22" s="73"/>
      <c r="G22" s="73"/>
      <c r="H22" s="74"/>
    </row>
    <row r="23" spans="2:8" ht="18" customHeight="1">
      <c r="B23" s="426">
        <f t="shared" ref="B23" si="1">B22+1</f>
        <v>3</v>
      </c>
      <c r="C23" s="458"/>
      <c r="D23" s="459"/>
      <c r="E23" s="73"/>
      <c r="F23" s="73"/>
      <c r="G23" s="73"/>
      <c r="H23" s="74"/>
    </row>
    <row r="24" spans="2:8" ht="18" customHeight="1">
      <c r="B24" s="426">
        <f>B23+1</f>
        <v>4</v>
      </c>
      <c r="C24" s="462"/>
      <c r="D24" s="463"/>
      <c r="E24" s="9"/>
      <c r="F24" s="9"/>
      <c r="G24" s="9"/>
      <c r="H24" s="9"/>
    </row>
    <row r="25" spans="2:8" ht="18" customHeight="1">
      <c r="B25" s="426">
        <f t="shared" ref="B25" si="2">B24+1</f>
        <v>5</v>
      </c>
      <c r="C25" s="462"/>
      <c r="D25" s="463"/>
      <c r="E25" s="9"/>
      <c r="F25" s="9"/>
      <c r="G25" s="9"/>
      <c r="H25" s="9"/>
    </row>
  </sheetData>
  <mergeCells count="19">
    <mergeCell ref="C24:D24"/>
    <mergeCell ref="C25:D25"/>
    <mergeCell ref="C18:D18"/>
    <mergeCell ref="C20:D20"/>
    <mergeCell ref="C10:D10"/>
    <mergeCell ref="C11:D11"/>
    <mergeCell ref="C12:D12"/>
    <mergeCell ref="C13:D13"/>
    <mergeCell ref="C14:D14"/>
    <mergeCell ref="C15:D15"/>
    <mergeCell ref="C16:D16"/>
    <mergeCell ref="C17:D17"/>
    <mergeCell ref="D6:E6"/>
    <mergeCell ref="B19:H19"/>
    <mergeCell ref="C21:D21"/>
    <mergeCell ref="C22:D22"/>
    <mergeCell ref="C23:D23"/>
    <mergeCell ref="C8:D8"/>
    <mergeCell ref="C9:D9"/>
  </mergeCells>
  <pageMargins left="0.70866141732283472" right="0.51181102362204722" top="0.59055118110236227" bottom="0.59055118110236227" header="0.31496062992125984" footer="0.31496062992125984"/>
  <pageSetup paperSize="9" scale="6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D572-F507-4A6E-A7C3-11318EFB481F}">
  <sheetPr>
    <pageSetUpPr fitToPage="1"/>
  </sheetPr>
  <dimension ref="A1:T114"/>
  <sheetViews>
    <sheetView showGridLines="0" zoomScale="80" zoomScaleNormal="80" workbookViewId="0">
      <selection sqref="A1:XFD1048576"/>
    </sheetView>
  </sheetViews>
  <sheetFormatPr defaultColWidth="10.85546875" defaultRowHeight="12.75"/>
  <cols>
    <col min="1" max="1" width="1.7109375" style="1" customWidth="1"/>
    <col min="2" max="2" width="5" style="2" customWidth="1"/>
    <col min="3" max="3" width="3.5703125" style="2" customWidth="1"/>
    <col min="4" max="4" width="18.5703125" style="1" customWidth="1"/>
    <col min="5" max="5" width="3.5703125" style="1" customWidth="1"/>
    <col min="6" max="6" width="18.5703125" style="1" customWidth="1"/>
    <col min="7" max="7" width="3.5703125" style="1" customWidth="1"/>
    <col min="8" max="8" width="18.5703125" style="1" customWidth="1"/>
    <col min="9" max="9" width="3.5703125" style="1" customWidth="1"/>
    <col min="10" max="10" width="18.5703125" style="1" customWidth="1"/>
    <col min="11" max="11" width="14.85546875" style="1" customWidth="1"/>
    <col min="12" max="12" width="12.85546875" style="1" customWidth="1"/>
    <col min="13" max="13" width="10.85546875" style="1" customWidth="1"/>
    <col min="14" max="14" width="2.5703125" style="1" customWidth="1"/>
    <col min="15" max="16384" width="10.85546875" style="1"/>
  </cols>
  <sheetData>
    <row r="1" spans="1:20" ht="6.95" customHeight="1"/>
    <row r="2" spans="1:20" ht="18.600000000000001" customHeight="1">
      <c r="A2" s="32"/>
      <c r="B2" s="33" t="s">
        <v>13</v>
      </c>
      <c r="C2" s="33"/>
      <c r="D2" s="34"/>
      <c r="E2" s="34"/>
      <c r="F2" s="34"/>
      <c r="G2" s="34"/>
      <c r="H2" s="32"/>
      <c r="I2" s="32"/>
      <c r="J2" s="32"/>
      <c r="K2" s="32"/>
      <c r="L2" s="32"/>
      <c r="M2" s="32"/>
    </row>
    <row r="3" spans="1:20" ht="15.6" customHeight="1">
      <c r="A3" s="32"/>
      <c r="B3" s="35" t="s">
        <v>56</v>
      </c>
      <c r="C3" s="35"/>
      <c r="D3" s="34"/>
      <c r="E3" s="34"/>
      <c r="F3" s="34"/>
      <c r="G3" s="34"/>
      <c r="H3" s="32"/>
      <c r="I3" s="32"/>
      <c r="J3" s="32"/>
      <c r="K3" s="32"/>
      <c r="L3" s="32"/>
      <c r="M3" s="32"/>
    </row>
    <row r="4" spans="1:20" s="8" customFormat="1" ht="10.5" customHeight="1">
      <c r="A4" s="1"/>
      <c r="B4" s="43"/>
      <c r="C4" s="387"/>
      <c r="D4" s="44"/>
      <c r="E4" s="44"/>
      <c r="F4" s="45"/>
      <c r="G4" s="45"/>
      <c r="H4" s="44"/>
      <c r="I4" s="44"/>
      <c r="J4" s="44"/>
      <c r="K4" s="44"/>
      <c r="L4" s="44"/>
      <c r="M4" s="46"/>
      <c r="N4" s="24"/>
      <c r="O4" s="422"/>
      <c r="P4" s="422"/>
      <c r="Q4" s="422"/>
      <c r="R4" s="422"/>
      <c r="S4" s="422"/>
      <c r="T4" s="422"/>
    </row>
    <row r="5" spans="1:20" ht="21" customHeight="1">
      <c r="B5" s="413"/>
      <c r="C5" s="282"/>
      <c r="D5" s="419" t="s">
        <v>45</v>
      </c>
      <c r="E5" s="419"/>
      <c r="F5" s="468"/>
      <c r="G5" s="468"/>
      <c r="H5" s="468"/>
      <c r="I5" s="468"/>
      <c r="J5" s="468"/>
      <c r="K5" s="47" t="s">
        <v>57</v>
      </c>
      <c r="L5" s="79"/>
      <c r="M5" s="48"/>
    </row>
    <row r="6" spans="1:20" ht="9.6" customHeight="1">
      <c r="B6" s="414"/>
      <c r="C6" s="388"/>
      <c r="D6" s="49"/>
      <c r="E6" s="49"/>
      <c r="F6" s="50"/>
      <c r="G6" s="50"/>
      <c r="H6" s="51"/>
      <c r="I6" s="51"/>
      <c r="J6" s="49"/>
      <c r="K6" s="51"/>
      <c r="L6" s="49"/>
      <c r="M6" s="52"/>
    </row>
    <row r="7" spans="1:20" ht="17.100000000000001" customHeight="1">
      <c r="A7" s="422"/>
      <c r="B7" s="464" t="s">
        <v>58</v>
      </c>
      <c r="C7" s="465"/>
      <c r="D7" s="466"/>
      <c r="E7" s="466"/>
      <c r="F7" s="466"/>
      <c r="G7" s="466"/>
      <c r="H7" s="466"/>
      <c r="I7" s="466"/>
      <c r="J7" s="466"/>
      <c r="K7" s="466"/>
      <c r="L7" s="466"/>
      <c r="M7" s="467"/>
    </row>
    <row r="8" spans="1:20" ht="16.5" customHeight="1">
      <c r="B8" s="97" t="s">
        <v>59</v>
      </c>
      <c r="C8" s="98" t="s">
        <v>60</v>
      </c>
      <c r="D8" s="98"/>
      <c r="E8" s="98"/>
      <c r="F8" s="99"/>
      <c r="G8" s="99"/>
      <c r="H8" s="99"/>
      <c r="I8" s="99"/>
      <c r="J8" s="99"/>
      <c r="K8" s="82"/>
      <c r="L8" s="83"/>
      <c r="M8" s="84"/>
    </row>
    <row r="9" spans="1:20" ht="15">
      <c r="B9" s="100"/>
      <c r="C9" s="442" t="s">
        <v>61</v>
      </c>
      <c r="D9" s="442"/>
      <c r="E9" s="442"/>
      <c r="F9" s="442"/>
      <c r="G9" s="442"/>
      <c r="H9" s="442"/>
      <c r="I9" s="442"/>
      <c r="J9" s="442"/>
      <c r="L9" s="86"/>
      <c r="M9" s="87"/>
    </row>
    <row r="10" spans="1:20" s="2" customFormat="1" ht="12.6" customHeight="1">
      <c r="A10" s="1"/>
      <c r="B10" s="100"/>
      <c r="C10" s="2" t="s">
        <v>62</v>
      </c>
      <c r="D10" s="442" t="s">
        <v>63</v>
      </c>
      <c r="E10" s="2" t="s">
        <v>62</v>
      </c>
      <c r="F10" s="442" t="s">
        <v>64</v>
      </c>
      <c r="G10" s="2" t="s">
        <v>62</v>
      </c>
      <c r="H10" s="442" t="s">
        <v>65</v>
      </c>
      <c r="I10" s="2" t="s">
        <v>62</v>
      </c>
      <c r="J10" s="442" t="s">
        <v>66</v>
      </c>
      <c r="K10" s="1"/>
      <c r="L10" s="88" t="s">
        <v>67</v>
      </c>
      <c r="M10" s="89"/>
    </row>
    <row r="11" spans="1:20" ht="12.6" customHeight="1">
      <c r="B11" s="100"/>
      <c r="C11" s="442" t="s">
        <v>68</v>
      </c>
      <c r="D11" s="442"/>
      <c r="E11" s="389"/>
      <c r="F11" s="442"/>
      <c r="G11" s="389"/>
      <c r="H11" s="442"/>
      <c r="I11" s="389"/>
      <c r="J11" s="442"/>
      <c r="K11" s="85"/>
      <c r="L11" s="86"/>
      <c r="M11" s="90"/>
    </row>
    <row r="12" spans="1:20" ht="12.6" customHeight="1">
      <c r="B12" s="100"/>
      <c r="C12" s="2" t="s">
        <v>62</v>
      </c>
      <c r="D12" s="442" t="s">
        <v>69</v>
      </c>
      <c r="E12" s="2" t="s">
        <v>62</v>
      </c>
      <c r="F12" s="442" t="s">
        <v>70</v>
      </c>
      <c r="G12" s="2" t="s">
        <v>62</v>
      </c>
      <c r="H12" s="442" t="s">
        <v>71</v>
      </c>
      <c r="I12" s="2" t="s">
        <v>62</v>
      </c>
      <c r="J12" s="442" t="s">
        <v>72</v>
      </c>
      <c r="K12" s="85"/>
      <c r="L12" s="88" t="s">
        <v>67</v>
      </c>
      <c r="M12" s="89"/>
    </row>
    <row r="13" spans="1:20" ht="12.6" customHeight="1">
      <c r="B13" s="100"/>
      <c r="C13" s="442" t="s">
        <v>73</v>
      </c>
      <c r="D13" s="442"/>
      <c r="E13" s="389"/>
      <c r="F13" s="442"/>
      <c r="G13" s="389"/>
      <c r="H13" s="442"/>
      <c r="I13" s="389"/>
      <c r="J13" s="442"/>
      <c r="K13" s="85"/>
      <c r="L13" s="86"/>
      <c r="M13" s="90"/>
    </row>
    <row r="14" spans="1:20" ht="12.6" customHeight="1" thickBot="1">
      <c r="B14" s="100"/>
      <c r="C14" s="2" t="s">
        <v>62</v>
      </c>
      <c r="D14" s="442" t="s">
        <v>69</v>
      </c>
      <c r="E14" s="2" t="s">
        <v>62</v>
      </c>
      <c r="F14" s="442" t="s">
        <v>70</v>
      </c>
      <c r="G14" s="2" t="s">
        <v>62</v>
      </c>
      <c r="H14" s="442" t="s">
        <v>71</v>
      </c>
      <c r="I14" s="2" t="s">
        <v>62</v>
      </c>
      <c r="J14" s="442" t="s">
        <v>72</v>
      </c>
      <c r="K14" s="85"/>
      <c r="L14" s="88" t="s">
        <v>67</v>
      </c>
      <c r="M14" s="89"/>
      <c r="P14" s="442"/>
      <c r="Q14" s="442"/>
      <c r="R14" s="442"/>
      <c r="S14" s="442"/>
      <c r="T14" s="85"/>
    </row>
    <row r="15" spans="1:20" ht="15" customHeight="1" thickTop="1" thickBot="1">
      <c r="B15" s="91"/>
      <c r="C15" s="390"/>
      <c r="D15" s="92"/>
      <c r="E15" s="390"/>
      <c r="F15" s="92"/>
      <c r="G15" s="390"/>
      <c r="H15" s="92"/>
      <c r="I15" s="390"/>
      <c r="J15" s="92"/>
      <c r="K15" s="92"/>
      <c r="L15" s="93" t="s">
        <v>74</v>
      </c>
      <c r="M15" s="94"/>
      <c r="P15" s="442"/>
      <c r="Q15" s="442"/>
      <c r="R15" s="442"/>
      <c r="S15" s="442"/>
      <c r="T15" s="85"/>
    </row>
    <row r="16" spans="1:20" ht="12.6" customHeight="1" thickTop="1">
      <c r="B16" s="100" t="s">
        <v>75</v>
      </c>
      <c r="C16" s="102" t="s">
        <v>76</v>
      </c>
      <c r="D16" s="102"/>
      <c r="E16" s="389"/>
      <c r="F16" s="442"/>
      <c r="G16" s="389"/>
      <c r="H16" s="442"/>
      <c r="I16" s="389"/>
      <c r="J16" s="442"/>
      <c r="K16" s="85"/>
      <c r="L16" s="86"/>
      <c r="M16" s="90"/>
    </row>
    <row r="17" spans="1:13" ht="12.6" customHeight="1">
      <c r="B17" s="103"/>
      <c r="C17" s="442" t="s">
        <v>77</v>
      </c>
      <c r="D17" s="442"/>
      <c r="E17" s="391"/>
      <c r="F17" s="442"/>
      <c r="G17" s="391"/>
      <c r="H17" s="442"/>
      <c r="I17" s="391"/>
      <c r="J17" s="442"/>
      <c r="K17" s="85"/>
      <c r="L17" s="86"/>
      <c r="M17" s="90"/>
    </row>
    <row r="18" spans="1:13" ht="12.6" customHeight="1">
      <c r="B18" s="103"/>
      <c r="C18" s="2" t="s">
        <v>62</v>
      </c>
      <c r="D18" s="442" t="s">
        <v>69</v>
      </c>
      <c r="E18" s="2" t="s">
        <v>62</v>
      </c>
      <c r="F18" s="442" t="s">
        <v>70</v>
      </c>
      <c r="G18" s="2" t="s">
        <v>62</v>
      </c>
      <c r="H18" s="442" t="s">
        <v>71</v>
      </c>
      <c r="I18" s="2" t="s">
        <v>62</v>
      </c>
      <c r="J18" s="442" t="s">
        <v>72</v>
      </c>
      <c r="K18" s="85"/>
      <c r="L18" s="88" t="s">
        <v>67</v>
      </c>
      <c r="M18" s="89"/>
    </row>
    <row r="19" spans="1:13" ht="12.6" customHeight="1">
      <c r="B19" s="103"/>
      <c r="C19" s="442" t="s">
        <v>78</v>
      </c>
      <c r="D19" s="442"/>
      <c r="E19" s="389"/>
      <c r="F19" s="442"/>
      <c r="G19" s="389"/>
      <c r="H19" s="442"/>
      <c r="I19" s="389"/>
      <c r="J19" s="442"/>
      <c r="K19" s="85"/>
      <c r="L19" s="86"/>
      <c r="M19" s="90"/>
    </row>
    <row r="20" spans="1:13" ht="12.6" customHeight="1">
      <c r="B20" s="103"/>
      <c r="C20" s="2" t="s">
        <v>62</v>
      </c>
      <c r="D20" s="442" t="s">
        <v>69</v>
      </c>
      <c r="E20" s="2" t="s">
        <v>62</v>
      </c>
      <c r="F20" s="442" t="s">
        <v>70</v>
      </c>
      <c r="G20" s="2" t="s">
        <v>62</v>
      </c>
      <c r="H20" s="442" t="s">
        <v>71</v>
      </c>
      <c r="I20" s="2" t="s">
        <v>62</v>
      </c>
      <c r="J20" s="442" t="s">
        <v>72</v>
      </c>
      <c r="K20" s="85"/>
      <c r="L20" s="88" t="s">
        <v>67</v>
      </c>
      <c r="M20" s="89"/>
    </row>
    <row r="21" spans="1:13" ht="12.6" customHeight="1">
      <c r="B21" s="103"/>
      <c r="C21" s="442" t="s">
        <v>79</v>
      </c>
      <c r="D21" s="442"/>
      <c r="E21" s="389"/>
      <c r="F21" s="442"/>
      <c r="G21" s="389"/>
      <c r="H21" s="442"/>
      <c r="I21" s="389"/>
      <c r="J21" s="442"/>
      <c r="K21" s="85"/>
      <c r="L21" s="86"/>
      <c r="M21" s="90"/>
    </row>
    <row r="22" spans="1:13" ht="12.6" customHeight="1" thickBot="1">
      <c r="B22" s="103"/>
      <c r="C22" s="2" t="s">
        <v>62</v>
      </c>
      <c r="D22" s="442" t="s">
        <v>69</v>
      </c>
      <c r="E22" s="2" t="s">
        <v>62</v>
      </c>
      <c r="F22" s="442" t="s">
        <v>70</v>
      </c>
      <c r="G22" s="2" t="s">
        <v>62</v>
      </c>
      <c r="H22" s="442" t="s">
        <v>71</v>
      </c>
      <c r="I22" s="2" t="s">
        <v>62</v>
      </c>
      <c r="J22" s="442" t="s">
        <v>72</v>
      </c>
      <c r="K22" s="85"/>
      <c r="L22" s="88" t="s">
        <v>67</v>
      </c>
      <c r="M22" s="89"/>
    </row>
    <row r="23" spans="1:13" ht="15" customHeight="1" thickTop="1" thickBot="1">
      <c r="B23" s="91"/>
      <c r="C23" s="390"/>
      <c r="D23" s="92"/>
      <c r="E23" s="390"/>
      <c r="F23" s="92"/>
      <c r="G23" s="390"/>
      <c r="H23" s="92"/>
      <c r="I23" s="390"/>
      <c r="J23" s="92"/>
      <c r="K23" s="92"/>
      <c r="L23" s="93" t="s">
        <v>74</v>
      </c>
      <c r="M23" s="94"/>
    </row>
    <row r="24" spans="1:13" ht="12.6" customHeight="1" thickTop="1">
      <c r="B24" s="100" t="s">
        <v>80</v>
      </c>
      <c r="C24" s="102" t="s">
        <v>81</v>
      </c>
      <c r="D24" s="102"/>
      <c r="E24" s="389"/>
      <c r="F24" s="442"/>
      <c r="G24" s="389"/>
      <c r="H24" s="442"/>
      <c r="I24" s="389"/>
      <c r="J24" s="442"/>
      <c r="K24" s="85"/>
      <c r="L24" s="86"/>
      <c r="M24" s="90"/>
    </row>
    <row r="25" spans="1:13" ht="12.6" customHeight="1">
      <c r="B25" s="103"/>
      <c r="C25" s="442" t="s">
        <v>82</v>
      </c>
      <c r="D25" s="442"/>
      <c r="E25" s="391"/>
      <c r="F25" s="442"/>
      <c r="G25" s="391"/>
      <c r="H25" s="442"/>
      <c r="I25" s="391"/>
      <c r="J25" s="442"/>
      <c r="K25" s="85"/>
      <c r="L25" s="86"/>
      <c r="M25" s="90"/>
    </row>
    <row r="26" spans="1:13" ht="12.6" customHeight="1">
      <c r="B26" s="103"/>
      <c r="C26" s="2" t="s">
        <v>62</v>
      </c>
      <c r="D26" s="442" t="s">
        <v>69</v>
      </c>
      <c r="E26" s="2" t="s">
        <v>62</v>
      </c>
      <c r="F26" s="442" t="s">
        <v>70</v>
      </c>
      <c r="G26" s="2" t="s">
        <v>62</v>
      </c>
      <c r="H26" s="442" t="s">
        <v>71</v>
      </c>
      <c r="I26" s="2" t="s">
        <v>62</v>
      </c>
      <c r="J26" s="442" t="s">
        <v>72</v>
      </c>
      <c r="K26" s="85"/>
      <c r="L26" s="88" t="s">
        <v>67</v>
      </c>
      <c r="M26" s="89"/>
    </row>
    <row r="27" spans="1:13" ht="12.6" customHeight="1">
      <c r="B27" s="103"/>
      <c r="C27" s="442" t="s">
        <v>83</v>
      </c>
      <c r="D27" s="442"/>
      <c r="E27" s="389"/>
      <c r="F27" s="442"/>
      <c r="G27" s="389"/>
      <c r="H27" s="442"/>
      <c r="I27" s="389"/>
      <c r="J27" s="442"/>
      <c r="K27" s="85"/>
      <c r="L27" s="86"/>
      <c r="M27" s="90"/>
    </row>
    <row r="28" spans="1:13" ht="12.6" customHeight="1">
      <c r="B28" s="103"/>
      <c r="C28" s="2" t="s">
        <v>62</v>
      </c>
      <c r="D28" s="442" t="s">
        <v>84</v>
      </c>
      <c r="E28" s="2" t="s">
        <v>62</v>
      </c>
      <c r="F28" s="442" t="s">
        <v>70</v>
      </c>
      <c r="G28" s="2" t="s">
        <v>62</v>
      </c>
      <c r="H28" s="442" t="s">
        <v>85</v>
      </c>
      <c r="I28" s="2" t="s">
        <v>62</v>
      </c>
      <c r="J28" s="442" t="s">
        <v>86</v>
      </c>
      <c r="K28" s="85"/>
      <c r="L28" s="88" t="s">
        <v>67</v>
      </c>
      <c r="M28" s="89"/>
    </row>
    <row r="29" spans="1:13" ht="12.6" customHeight="1">
      <c r="B29" s="103"/>
      <c r="C29" s="442" t="s">
        <v>87</v>
      </c>
      <c r="D29" s="442"/>
      <c r="E29" s="389"/>
      <c r="F29" s="442"/>
      <c r="G29" s="389"/>
      <c r="H29" s="442"/>
      <c r="I29" s="389"/>
      <c r="J29" s="442"/>
      <c r="K29" s="85"/>
      <c r="L29" s="86"/>
      <c r="M29" s="90"/>
    </row>
    <row r="30" spans="1:13" ht="12.6" customHeight="1" thickBot="1">
      <c r="B30" s="103"/>
      <c r="C30" s="2" t="s">
        <v>62</v>
      </c>
      <c r="D30" s="442" t="s">
        <v>84</v>
      </c>
      <c r="E30" s="2" t="s">
        <v>62</v>
      </c>
      <c r="F30" s="442" t="s">
        <v>70</v>
      </c>
      <c r="G30" s="2" t="s">
        <v>62</v>
      </c>
      <c r="H30" s="442" t="s">
        <v>85</v>
      </c>
      <c r="I30" s="2" t="s">
        <v>62</v>
      </c>
      <c r="J30" s="442" t="s">
        <v>86</v>
      </c>
      <c r="K30" s="85"/>
      <c r="L30" s="88" t="s">
        <v>67</v>
      </c>
      <c r="M30" s="89"/>
    </row>
    <row r="31" spans="1:13" ht="15" customHeight="1" thickTop="1">
      <c r="B31" s="95"/>
      <c r="C31" s="392"/>
      <c r="D31" s="96"/>
      <c r="E31" s="96"/>
      <c r="F31" s="96"/>
      <c r="G31" s="96"/>
      <c r="H31" s="96"/>
      <c r="I31" s="96"/>
      <c r="J31" s="96"/>
      <c r="K31" s="96"/>
      <c r="L31" s="386" t="s">
        <v>74</v>
      </c>
      <c r="M31" s="104"/>
    </row>
    <row r="32" spans="1:13" ht="15" customHeight="1">
      <c r="A32" s="422"/>
      <c r="B32" s="469" t="s">
        <v>88</v>
      </c>
      <c r="C32" s="470"/>
      <c r="D32" s="471"/>
      <c r="E32" s="471"/>
      <c r="F32" s="471"/>
      <c r="G32" s="471"/>
      <c r="H32" s="471"/>
      <c r="I32" s="471"/>
      <c r="J32" s="471"/>
      <c r="K32" s="471"/>
      <c r="L32" s="471"/>
      <c r="M32" s="472"/>
    </row>
    <row r="33" spans="2:13" ht="15" customHeight="1">
      <c r="B33" s="36"/>
      <c r="C33" s="397" t="s">
        <v>89</v>
      </c>
      <c r="D33" s="404"/>
      <c r="E33" s="431" t="s">
        <v>90</v>
      </c>
      <c r="F33" s="404" t="s">
        <v>91</v>
      </c>
      <c r="G33" s="37"/>
      <c r="H33" s="37"/>
      <c r="I33" s="37"/>
      <c r="M33" s="40"/>
    </row>
    <row r="34" spans="2:13" ht="15" customHeight="1">
      <c r="B34" s="41"/>
      <c r="C34" s="438"/>
      <c r="D34" s="394"/>
      <c r="E34" s="24" t="s">
        <v>90</v>
      </c>
      <c r="F34" s="394" t="s">
        <v>92</v>
      </c>
      <c r="I34" s="40"/>
      <c r="M34" s="40"/>
    </row>
    <row r="35" spans="2:13" ht="15" customHeight="1">
      <c r="B35" s="41"/>
      <c r="C35" s="438"/>
      <c r="D35" s="405"/>
      <c r="E35" s="423" t="s">
        <v>90</v>
      </c>
      <c r="F35" s="394" t="s">
        <v>93</v>
      </c>
      <c r="I35" s="40"/>
      <c r="M35" s="40"/>
    </row>
    <row r="36" spans="2:13" ht="15" customHeight="1">
      <c r="B36" s="54"/>
      <c r="C36" s="55"/>
      <c r="D36" s="406"/>
      <c r="E36" s="408" t="s">
        <v>90</v>
      </c>
      <c r="F36" s="407" t="s">
        <v>94</v>
      </c>
      <c r="G36" s="55"/>
      <c r="H36" s="56"/>
      <c r="I36" s="57"/>
      <c r="L36" s="3"/>
      <c r="M36" s="40"/>
    </row>
    <row r="37" spans="2:13" ht="4.5" customHeight="1">
      <c r="B37" s="54"/>
      <c r="C37" s="393"/>
      <c r="D37" s="55"/>
      <c r="E37" s="393"/>
      <c r="F37" s="55"/>
      <c r="G37" s="55"/>
      <c r="H37" s="55"/>
      <c r="I37" s="55"/>
      <c r="J37" s="55"/>
      <c r="K37" s="55"/>
      <c r="L37" s="56"/>
      <c r="M37" s="57"/>
    </row>
    <row r="38" spans="2:13" ht="12.6" customHeight="1"/>
    <row r="39" spans="2:13" ht="12.6" customHeight="1"/>
    <row r="40" spans="2:13" ht="12.6" customHeight="1"/>
    <row r="41" spans="2:13" ht="12.6" customHeight="1"/>
    <row r="42" spans="2:13" ht="12.6" customHeight="1"/>
    <row r="43" spans="2:13" ht="12.6" customHeight="1"/>
    <row r="44" spans="2:13" ht="12.6" customHeight="1"/>
    <row r="45" spans="2:13" ht="12.6" customHeight="1"/>
    <row r="46" spans="2:13" ht="12.6" customHeight="1"/>
    <row r="47" spans="2:13" ht="12.6" customHeight="1"/>
    <row r="48" spans="2:13"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row r="100" ht="12.6" customHeight="1"/>
    <row r="101" ht="12.6" customHeight="1"/>
    <row r="102" ht="12.6" customHeight="1"/>
    <row r="103" ht="12.6" customHeight="1"/>
    <row r="104" ht="12.6" customHeight="1"/>
    <row r="105" ht="12.6" customHeight="1"/>
    <row r="106" ht="12.6" customHeight="1"/>
    <row r="107" ht="12.6" customHeight="1"/>
    <row r="108" ht="12.6" customHeight="1"/>
    <row r="109" ht="12.6" customHeight="1"/>
    <row r="110" ht="12.6" customHeight="1"/>
    <row r="111" ht="12.6" customHeight="1"/>
    <row r="112" ht="12.6" customHeight="1"/>
    <row r="113" ht="12.6" customHeight="1"/>
    <row r="114" ht="12.6" customHeight="1"/>
  </sheetData>
  <mergeCells count="3">
    <mergeCell ref="B7:M7"/>
    <mergeCell ref="F5:J5"/>
    <mergeCell ref="B32:M32"/>
  </mergeCells>
  <pageMargins left="0.70866141732283472" right="0.51181102362204722" top="0.59055118110236227" bottom="0.59055118110236227" header="0.31496062992125984" footer="0.31496062992125984"/>
  <pageSetup paperSize="9" scale="51"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7E322-6EA4-4FF0-A855-E388188BF481}">
  <dimension ref="B1:M46"/>
  <sheetViews>
    <sheetView showGridLines="0" showRowColHeaders="0" zoomScale="90" zoomScaleNormal="90" workbookViewId="0"/>
  </sheetViews>
  <sheetFormatPr defaultColWidth="10.85546875" defaultRowHeight="12.75"/>
  <cols>
    <col min="1" max="1" width="2" style="1" customWidth="1"/>
    <col min="2" max="2" width="3.28515625" style="1" customWidth="1"/>
    <col min="3" max="3" width="6.140625" style="1" customWidth="1"/>
    <col min="4" max="4" width="4.140625" style="1" customWidth="1"/>
    <col min="5" max="5" width="28.140625" style="1" customWidth="1"/>
    <col min="6" max="6" width="5.5703125" style="5" customWidth="1"/>
    <col min="7" max="7" width="60.7109375" style="1" customWidth="1"/>
    <col min="8" max="8" width="30.7109375" style="1" customWidth="1"/>
    <col min="9" max="13" width="5.7109375" style="1" customWidth="1"/>
    <col min="14" max="16384" width="10.85546875" style="1"/>
  </cols>
  <sheetData>
    <row r="1" spans="2:13" ht="5.45" customHeight="1"/>
    <row r="2" spans="2:13" ht="18">
      <c r="B2" s="421" t="s">
        <v>15</v>
      </c>
      <c r="F2" s="3"/>
      <c r="G2" s="6"/>
      <c r="H2" s="6"/>
      <c r="I2" s="6"/>
      <c r="J2" s="6"/>
      <c r="K2" s="6"/>
      <c r="L2" s="6"/>
      <c r="M2" s="6"/>
    </row>
    <row r="3" spans="2:13" s="8" customFormat="1" ht="15" customHeight="1">
      <c r="B3" s="422" t="s">
        <v>95</v>
      </c>
      <c r="C3" s="422"/>
      <c r="D3" s="422"/>
      <c r="E3" s="422"/>
      <c r="F3" s="422"/>
      <c r="G3" s="422"/>
      <c r="H3" s="422"/>
      <c r="I3" s="422"/>
      <c r="J3" s="422"/>
      <c r="K3" s="24"/>
      <c r="L3" s="422"/>
      <c r="M3" s="422"/>
    </row>
    <row r="4" spans="2:13" ht="6.95" customHeight="1"/>
    <row r="5" spans="2:13" ht="23.45" customHeight="1">
      <c r="B5" s="473" t="s">
        <v>96</v>
      </c>
      <c r="C5" s="474"/>
      <c r="D5" s="474"/>
      <c r="E5" s="474"/>
      <c r="F5" s="474"/>
      <c r="G5" s="474"/>
      <c r="H5" s="474"/>
      <c r="I5" s="474"/>
      <c r="J5" s="474"/>
      <c r="K5" s="474"/>
      <c r="L5" s="474"/>
      <c r="M5" s="475"/>
    </row>
    <row r="6" spans="2:13" ht="8.4499999999999993" customHeight="1">
      <c r="B6" s="26"/>
      <c r="C6" s="13"/>
      <c r="D6" s="13"/>
      <c r="E6" s="13"/>
      <c r="F6" s="14"/>
      <c r="G6" s="13"/>
      <c r="H6" s="13"/>
      <c r="I6" s="13"/>
      <c r="J6" s="13"/>
      <c r="K6" s="13"/>
      <c r="L6" s="13"/>
      <c r="M6" s="15"/>
    </row>
    <row r="7" spans="2:13" ht="18.600000000000001" customHeight="1">
      <c r="B7" s="27"/>
      <c r="C7" s="17"/>
      <c r="D7" s="23" t="s">
        <v>45</v>
      </c>
      <c r="E7" s="468"/>
      <c r="F7" s="468"/>
      <c r="G7" s="468"/>
      <c r="H7" s="117"/>
      <c r="I7" s="17"/>
      <c r="J7" s="23" t="s">
        <v>57</v>
      </c>
      <c r="K7" s="512"/>
      <c r="L7" s="513"/>
      <c r="M7" s="18"/>
    </row>
    <row r="8" spans="2:13" ht="6.95" customHeight="1">
      <c r="B8" s="28"/>
      <c r="C8" s="20"/>
      <c r="D8" s="20"/>
      <c r="E8" s="20"/>
      <c r="F8" s="21"/>
      <c r="G8" s="20"/>
      <c r="H8" s="20"/>
      <c r="I8" s="20"/>
      <c r="J8" s="20"/>
      <c r="K8" s="20"/>
      <c r="L8" s="20"/>
      <c r="M8" s="22"/>
    </row>
    <row r="9" spans="2:13" ht="21.6" customHeight="1">
      <c r="B9" s="505" t="s">
        <v>97</v>
      </c>
      <c r="C9" s="506"/>
      <c r="D9" s="505" t="s">
        <v>98</v>
      </c>
      <c r="E9" s="506"/>
      <c r="F9" s="505" t="s">
        <v>99</v>
      </c>
      <c r="G9" s="506"/>
      <c r="H9" s="514" t="s">
        <v>100</v>
      </c>
      <c r="I9" s="509" t="s">
        <v>101</v>
      </c>
      <c r="J9" s="510"/>
      <c r="K9" s="510"/>
      <c r="L9" s="510"/>
      <c r="M9" s="511"/>
    </row>
    <row r="10" spans="2:13" ht="21.6" customHeight="1">
      <c r="B10" s="507"/>
      <c r="C10" s="508"/>
      <c r="D10" s="507"/>
      <c r="E10" s="508"/>
      <c r="F10" s="507"/>
      <c r="G10" s="508"/>
      <c r="H10" s="515"/>
      <c r="I10" s="25" t="s">
        <v>102</v>
      </c>
      <c r="J10" s="25" t="s">
        <v>103</v>
      </c>
      <c r="K10" s="25" t="s">
        <v>104</v>
      </c>
      <c r="L10" s="25" t="s">
        <v>105</v>
      </c>
      <c r="M10" s="25" t="s">
        <v>106</v>
      </c>
    </row>
    <row r="11" spans="2:13" ht="12.6" customHeight="1">
      <c r="B11" s="476">
        <v>1</v>
      </c>
      <c r="C11" s="501" t="s">
        <v>107</v>
      </c>
      <c r="D11" s="482" t="s">
        <v>108</v>
      </c>
      <c r="E11" s="503"/>
      <c r="F11" s="11" t="s">
        <v>109</v>
      </c>
      <c r="G11" s="109"/>
      <c r="H11" s="109"/>
      <c r="I11" s="113"/>
      <c r="J11" s="113"/>
      <c r="K11" s="113"/>
      <c r="L11" s="113"/>
      <c r="M11" s="113"/>
    </row>
    <row r="12" spans="2:13" ht="12.6" customHeight="1">
      <c r="B12" s="477"/>
      <c r="C12" s="502"/>
      <c r="D12" s="477"/>
      <c r="E12" s="504"/>
      <c r="F12" s="11" t="s">
        <v>110</v>
      </c>
      <c r="G12" s="109"/>
      <c r="H12" s="109"/>
      <c r="I12" s="113"/>
      <c r="J12" s="113"/>
      <c r="K12" s="113"/>
      <c r="L12" s="113"/>
      <c r="M12" s="113"/>
    </row>
    <row r="13" spans="2:13" ht="12.6" customHeight="1">
      <c r="B13" s="477"/>
      <c r="C13" s="502"/>
      <c r="D13" s="477"/>
      <c r="E13" s="504"/>
      <c r="F13" s="11" t="s">
        <v>111</v>
      </c>
      <c r="G13" s="109"/>
      <c r="H13" s="109"/>
      <c r="I13" s="113"/>
      <c r="J13" s="113"/>
      <c r="K13" s="113"/>
      <c r="L13" s="113"/>
      <c r="M13" s="113"/>
    </row>
    <row r="14" spans="2:13" ht="12.6" customHeight="1">
      <c r="B14" s="477"/>
      <c r="C14" s="502"/>
      <c r="D14" s="482" t="s">
        <v>112</v>
      </c>
      <c r="E14" s="503"/>
      <c r="F14" s="11" t="s">
        <v>113</v>
      </c>
      <c r="G14" s="109"/>
      <c r="H14" s="109"/>
      <c r="I14" s="113"/>
      <c r="J14" s="113"/>
      <c r="K14" s="113"/>
      <c r="L14" s="113"/>
      <c r="M14" s="113"/>
    </row>
    <row r="15" spans="2:13" ht="12.6" customHeight="1">
      <c r="B15" s="477"/>
      <c r="C15" s="502"/>
      <c r="D15" s="477"/>
      <c r="E15" s="504"/>
      <c r="F15" s="11" t="s">
        <v>114</v>
      </c>
      <c r="G15" s="109"/>
      <c r="H15" s="109"/>
      <c r="I15" s="113"/>
      <c r="J15" s="113"/>
      <c r="K15" s="113"/>
      <c r="L15" s="113"/>
      <c r="M15" s="113"/>
    </row>
    <row r="16" spans="2:13" ht="12.6" customHeight="1">
      <c r="B16" s="477"/>
      <c r="C16" s="502"/>
      <c r="D16" s="477"/>
      <c r="E16" s="504"/>
      <c r="F16" s="11" t="s">
        <v>115</v>
      </c>
      <c r="G16" s="109"/>
      <c r="H16" s="109"/>
      <c r="I16" s="113"/>
      <c r="J16" s="113"/>
      <c r="K16" s="113"/>
      <c r="L16" s="113"/>
      <c r="M16" s="113"/>
    </row>
    <row r="17" spans="2:13" ht="12.6" customHeight="1">
      <c r="B17" s="477"/>
      <c r="C17" s="502"/>
      <c r="D17" s="482" t="s">
        <v>116</v>
      </c>
      <c r="E17" s="503"/>
      <c r="F17" s="11" t="s">
        <v>117</v>
      </c>
      <c r="G17" s="109"/>
      <c r="H17" s="109"/>
      <c r="I17" s="113"/>
      <c r="J17" s="113"/>
      <c r="K17" s="113"/>
      <c r="L17" s="113"/>
      <c r="M17" s="113"/>
    </row>
    <row r="18" spans="2:13" ht="12.6" customHeight="1">
      <c r="B18" s="477"/>
      <c r="C18" s="502"/>
      <c r="D18" s="477"/>
      <c r="E18" s="504"/>
      <c r="F18" s="11" t="s">
        <v>118</v>
      </c>
      <c r="G18" s="109"/>
      <c r="H18" s="109"/>
      <c r="I18" s="113"/>
      <c r="J18" s="113"/>
      <c r="K18" s="113"/>
      <c r="L18" s="113"/>
      <c r="M18" s="113"/>
    </row>
    <row r="19" spans="2:13" ht="12.6" customHeight="1">
      <c r="B19" s="477"/>
      <c r="C19" s="502"/>
      <c r="D19" s="477"/>
      <c r="E19" s="504"/>
      <c r="F19" s="11" t="s">
        <v>119</v>
      </c>
      <c r="G19" s="109"/>
      <c r="H19" s="109"/>
      <c r="I19" s="113"/>
      <c r="J19" s="113"/>
      <c r="K19" s="113"/>
      <c r="L19" s="113"/>
      <c r="M19" s="113"/>
    </row>
    <row r="20" spans="2:13" ht="12.6" customHeight="1">
      <c r="B20" s="476">
        <v>2</v>
      </c>
      <c r="C20" s="495" t="s">
        <v>120</v>
      </c>
      <c r="D20" s="482" t="s">
        <v>121</v>
      </c>
      <c r="E20" s="496"/>
      <c r="F20" s="11" t="s">
        <v>122</v>
      </c>
      <c r="G20" s="110"/>
      <c r="H20" s="110"/>
      <c r="I20" s="114"/>
      <c r="J20" s="114"/>
      <c r="K20" s="114"/>
      <c r="L20" s="114"/>
      <c r="M20" s="114"/>
    </row>
    <row r="21" spans="2:13" ht="12.6" customHeight="1">
      <c r="B21" s="477"/>
      <c r="C21" s="480"/>
      <c r="D21" s="493"/>
      <c r="E21" s="497"/>
      <c r="F21" s="11" t="s">
        <v>123</v>
      </c>
      <c r="G21" s="110"/>
      <c r="H21" s="110"/>
      <c r="I21" s="114"/>
      <c r="J21" s="114"/>
      <c r="K21" s="114"/>
      <c r="L21" s="114"/>
      <c r="M21" s="114"/>
    </row>
    <row r="22" spans="2:13" ht="12.6" customHeight="1">
      <c r="B22" s="477"/>
      <c r="C22" s="480"/>
      <c r="D22" s="493"/>
      <c r="E22" s="497"/>
      <c r="F22" s="11" t="s">
        <v>124</v>
      </c>
      <c r="G22" s="110"/>
      <c r="H22" s="110"/>
      <c r="I22" s="114"/>
      <c r="J22" s="114"/>
      <c r="K22" s="114"/>
      <c r="L22" s="114"/>
      <c r="M22" s="114"/>
    </row>
    <row r="23" spans="2:13" ht="12.6" customHeight="1">
      <c r="B23" s="477"/>
      <c r="C23" s="480"/>
      <c r="D23" s="482" t="s">
        <v>125</v>
      </c>
      <c r="E23" s="498"/>
      <c r="F23" s="11" t="s">
        <v>126</v>
      </c>
      <c r="G23" s="110"/>
      <c r="H23" s="110"/>
      <c r="I23" s="114"/>
      <c r="J23" s="114"/>
      <c r="K23" s="114"/>
      <c r="L23" s="114"/>
      <c r="M23" s="114"/>
    </row>
    <row r="24" spans="2:13" ht="12.6" customHeight="1">
      <c r="B24" s="477"/>
      <c r="C24" s="480"/>
      <c r="D24" s="493"/>
      <c r="E24" s="499"/>
      <c r="F24" s="11" t="s">
        <v>127</v>
      </c>
      <c r="G24" s="110"/>
      <c r="H24" s="110"/>
      <c r="I24" s="114"/>
      <c r="J24" s="114"/>
      <c r="K24" s="114"/>
      <c r="L24" s="114"/>
      <c r="M24" s="114"/>
    </row>
    <row r="25" spans="2:13" ht="12.6" customHeight="1">
      <c r="B25" s="477"/>
      <c r="C25" s="480"/>
      <c r="D25" s="493"/>
      <c r="E25" s="499"/>
      <c r="F25" s="11" t="s">
        <v>128</v>
      </c>
      <c r="G25" s="110"/>
      <c r="H25" s="110"/>
      <c r="I25" s="114"/>
      <c r="J25" s="114"/>
      <c r="K25" s="114"/>
      <c r="L25" s="114"/>
      <c r="M25" s="114"/>
    </row>
    <row r="26" spans="2:13" ht="12.6" customHeight="1">
      <c r="B26" s="477"/>
      <c r="C26" s="480"/>
      <c r="D26" s="482" t="s">
        <v>129</v>
      </c>
      <c r="E26" s="496"/>
      <c r="F26" s="11" t="s">
        <v>130</v>
      </c>
      <c r="G26" s="110"/>
      <c r="H26" s="110"/>
      <c r="I26" s="114"/>
      <c r="J26" s="114"/>
      <c r="K26" s="114"/>
      <c r="L26" s="114"/>
      <c r="M26" s="114"/>
    </row>
    <row r="27" spans="2:13" ht="12.6" customHeight="1">
      <c r="B27" s="477"/>
      <c r="C27" s="480"/>
      <c r="D27" s="477"/>
      <c r="E27" s="500"/>
      <c r="F27" s="11" t="s">
        <v>131</v>
      </c>
      <c r="G27" s="110"/>
      <c r="H27" s="110"/>
      <c r="I27" s="114"/>
      <c r="J27" s="114"/>
      <c r="K27" s="114"/>
      <c r="L27" s="114"/>
      <c r="M27" s="114"/>
    </row>
    <row r="28" spans="2:13" ht="12.6" customHeight="1">
      <c r="B28" s="477"/>
      <c r="C28" s="480"/>
      <c r="D28" s="477"/>
      <c r="E28" s="500"/>
      <c r="F28" s="11" t="s">
        <v>132</v>
      </c>
      <c r="G28" s="110"/>
      <c r="H28" s="110"/>
      <c r="I28" s="114"/>
      <c r="J28" s="114"/>
      <c r="K28" s="114"/>
      <c r="L28" s="114"/>
      <c r="M28" s="114"/>
    </row>
    <row r="29" spans="2:13" ht="12.6" customHeight="1">
      <c r="B29" s="476">
        <v>3</v>
      </c>
      <c r="C29" s="488" t="s">
        <v>133</v>
      </c>
      <c r="D29" s="482" t="s">
        <v>134</v>
      </c>
      <c r="E29" s="489"/>
      <c r="F29" s="11" t="s">
        <v>135</v>
      </c>
      <c r="G29" s="111"/>
      <c r="H29" s="111"/>
      <c r="I29" s="115"/>
      <c r="J29" s="115"/>
      <c r="K29" s="115"/>
      <c r="L29" s="115"/>
      <c r="M29" s="115"/>
    </row>
    <row r="30" spans="2:13" ht="12.6" customHeight="1">
      <c r="B30" s="477"/>
      <c r="C30" s="480"/>
      <c r="D30" s="477"/>
      <c r="E30" s="490"/>
      <c r="F30" s="11" t="s">
        <v>136</v>
      </c>
      <c r="G30" s="111"/>
      <c r="H30" s="111"/>
      <c r="I30" s="115"/>
      <c r="J30" s="115"/>
      <c r="K30" s="115"/>
      <c r="L30" s="115"/>
      <c r="M30" s="115"/>
    </row>
    <row r="31" spans="2:13" ht="12.6" customHeight="1">
      <c r="B31" s="477"/>
      <c r="C31" s="480"/>
      <c r="D31" s="477"/>
      <c r="E31" s="490"/>
      <c r="F31" s="11" t="s">
        <v>137</v>
      </c>
      <c r="G31" s="111"/>
      <c r="H31" s="111"/>
      <c r="I31" s="115"/>
      <c r="J31" s="115"/>
      <c r="K31" s="115"/>
      <c r="L31" s="115"/>
      <c r="M31" s="115"/>
    </row>
    <row r="32" spans="2:13" ht="12.6" customHeight="1">
      <c r="B32" s="477"/>
      <c r="C32" s="480"/>
      <c r="D32" s="482" t="s">
        <v>138</v>
      </c>
      <c r="E32" s="491"/>
      <c r="F32" s="11" t="s">
        <v>139</v>
      </c>
      <c r="G32" s="111"/>
      <c r="H32" s="111"/>
      <c r="I32" s="115"/>
      <c r="J32" s="115"/>
      <c r="K32" s="115"/>
      <c r="L32" s="115"/>
      <c r="M32" s="115"/>
    </row>
    <row r="33" spans="2:13" ht="12.6" customHeight="1">
      <c r="B33" s="477"/>
      <c r="C33" s="480"/>
      <c r="D33" s="477"/>
      <c r="E33" s="492"/>
      <c r="F33" s="11" t="s">
        <v>140</v>
      </c>
      <c r="G33" s="111"/>
      <c r="H33" s="111"/>
      <c r="I33" s="115"/>
      <c r="J33" s="115"/>
      <c r="K33" s="115"/>
      <c r="L33" s="115"/>
      <c r="M33" s="115"/>
    </row>
    <row r="34" spans="2:13" ht="12.6" customHeight="1">
      <c r="B34" s="477"/>
      <c r="C34" s="480"/>
      <c r="D34" s="477"/>
      <c r="E34" s="492"/>
      <c r="F34" s="11" t="s">
        <v>141</v>
      </c>
      <c r="G34" s="111"/>
      <c r="H34" s="111"/>
      <c r="I34" s="115"/>
      <c r="J34" s="115"/>
      <c r="K34" s="115"/>
      <c r="L34" s="115"/>
      <c r="M34" s="115"/>
    </row>
    <row r="35" spans="2:13" ht="12.6" customHeight="1">
      <c r="B35" s="477"/>
      <c r="C35" s="480"/>
      <c r="D35" s="482" t="s">
        <v>142</v>
      </c>
      <c r="E35" s="491"/>
      <c r="F35" s="11" t="s">
        <v>143</v>
      </c>
      <c r="G35" s="111"/>
      <c r="H35" s="111"/>
      <c r="I35" s="115"/>
      <c r="J35" s="115"/>
      <c r="K35" s="115"/>
      <c r="L35" s="115"/>
      <c r="M35" s="115"/>
    </row>
    <row r="36" spans="2:13" ht="12.6" customHeight="1">
      <c r="B36" s="477"/>
      <c r="C36" s="480"/>
      <c r="D36" s="493"/>
      <c r="E36" s="494"/>
      <c r="F36" s="11" t="s">
        <v>144</v>
      </c>
      <c r="G36" s="111"/>
      <c r="H36" s="111"/>
      <c r="I36" s="115"/>
      <c r="J36" s="115"/>
      <c r="K36" s="115"/>
      <c r="L36" s="115"/>
      <c r="M36" s="115"/>
    </row>
    <row r="37" spans="2:13" ht="12.6" customHeight="1">
      <c r="B37" s="477"/>
      <c r="C37" s="480"/>
      <c r="D37" s="477"/>
      <c r="E37" s="492"/>
      <c r="F37" s="11" t="s">
        <v>145</v>
      </c>
      <c r="G37" s="111"/>
      <c r="H37" s="111"/>
      <c r="I37" s="115"/>
      <c r="J37" s="115"/>
      <c r="K37" s="115"/>
      <c r="L37" s="115"/>
      <c r="M37" s="115"/>
    </row>
    <row r="38" spans="2:13" ht="12.6" customHeight="1">
      <c r="B38" s="476">
        <v>4</v>
      </c>
      <c r="C38" s="479" t="s">
        <v>146</v>
      </c>
      <c r="D38" s="482" t="s">
        <v>147</v>
      </c>
      <c r="E38" s="483"/>
      <c r="F38" s="11" t="s">
        <v>148</v>
      </c>
      <c r="G38" s="112"/>
      <c r="H38" s="112"/>
      <c r="I38" s="116"/>
      <c r="J38" s="116"/>
      <c r="K38" s="116"/>
      <c r="L38" s="116"/>
      <c r="M38" s="116"/>
    </row>
    <row r="39" spans="2:13" ht="12.6" customHeight="1">
      <c r="B39" s="477"/>
      <c r="C39" s="480"/>
      <c r="D39" s="477"/>
      <c r="E39" s="484"/>
      <c r="F39" s="11" t="s">
        <v>149</v>
      </c>
      <c r="G39" s="112"/>
      <c r="H39" s="112"/>
      <c r="I39" s="116"/>
      <c r="J39" s="116"/>
      <c r="K39" s="116"/>
      <c r="L39" s="116"/>
      <c r="M39" s="116"/>
    </row>
    <row r="40" spans="2:13" ht="12.6" customHeight="1">
      <c r="B40" s="477"/>
      <c r="C40" s="480"/>
      <c r="D40" s="477"/>
      <c r="E40" s="484"/>
      <c r="F40" s="11" t="s">
        <v>150</v>
      </c>
      <c r="G40" s="112"/>
      <c r="H40" s="112"/>
      <c r="I40" s="116"/>
      <c r="J40" s="116"/>
      <c r="K40" s="116"/>
      <c r="L40" s="116"/>
      <c r="M40" s="116"/>
    </row>
    <row r="41" spans="2:13" ht="12.6" customHeight="1">
      <c r="B41" s="477"/>
      <c r="C41" s="480"/>
      <c r="D41" s="482" t="s">
        <v>151</v>
      </c>
      <c r="E41" s="485"/>
      <c r="F41" s="11" t="s">
        <v>152</v>
      </c>
      <c r="G41" s="112"/>
      <c r="H41" s="112"/>
      <c r="I41" s="116"/>
      <c r="J41" s="116"/>
      <c r="K41" s="116"/>
      <c r="L41" s="116"/>
      <c r="M41" s="116"/>
    </row>
    <row r="42" spans="2:13" ht="12.6" customHeight="1">
      <c r="B42" s="477"/>
      <c r="C42" s="480"/>
      <c r="D42" s="477"/>
      <c r="E42" s="486"/>
      <c r="F42" s="11" t="s">
        <v>153</v>
      </c>
      <c r="G42" s="112"/>
      <c r="H42" s="112"/>
      <c r="I42" s="116"/>
      <c r="J42" s="116"/>
      <c r="K42" s="116"/>
      <c r="L42" s="116"/>
      <c r="M42" s="116"/>
    </row>
    <row r="43" spans="2:13" ht="12.6" customHeight="1">
      <c r="B43" s="477"/>
      <c r="C43" s="480"/>
      <c r="D43" s="477"/>
      <c r="E43" s="486"/>
      <c r="F43" s="11" t="s">
        <v>154</v>
      </c>
      <c r="G43" s="112"/>
      <c r="H43" s="112"/>
      <c r="I43" s="116"/>
      <c r="J43" s="116"/>
      <c r="K43" s="116"/>
      <c r="L43" s="116"/>
      <c r="M43" s="116"/>
    </row>
    <row r="44" spans="2:13" ht="12.6" customHeight="1">
      <c r="B44" s="477"/>
      <c r="C44" s="480"/>
      <c r="D44" s="482" t="s">
        <v>155</v>
      </c>
      <c r="E44" s="483"/>
      <c r="F44" s="11" t="s">
        <v>156</v>
      </c>
      <c r="G44" s="112"/>
      <c r="H44" s="112"/>
      <c r="I44" s="116"/>
      <c r="J44" s="116"/>
      <c r="K44" s="116"/>
      <c r="L44" s="116"/>
      <c r="M44" s="116"/>
    </row>
    <row r="45" spans="2:13" ht="12.6" customHeight="1">
      <c r="B45" s="477"/>
      <c r="C45" s="480"/>
      <c r="D45" s="477"/>
      <c r="E45" s="484"/>
      <c r="F45" s="11" t="s">
        <v>157</v>
      </c>
      <c r="G45" s="112"/>
      <c r="H45" s="112"/>
      <c r="I45" s="116"/>
      <c r="J45" s="116"/>
      <c r="K45" s="116"/>
      <c r="L45" s="116"/>
      <c r="M45" s="116"/>
    </row>
    <row r="46" spans="2:13" ht="12.6" customHeight="1">
      <c r="B46" s="478"/>
      <c r="C46" s="481"/>
      <c r="D46" s="478"/>
      <c r="E46" s="487"/>
      <c r="F46" s="11" t="s">
        <v>158</v>
      </c>
      <c r="G46" s="112"/>
      <c r="H46" s="112"/>
      <c r="I46" s="116"/>
      <c r="J46" s="116"/>
      <c r="K46" s="116"/>
      <c r="L46" s="116"/>
      <c r="M46" s="116"/>
    </row>
  </sheetData>
  <mergeCells count="40">
    <mergeCell ref="B9:C10"/>
    <mergeCell ref="D9:E10"/>
    <mergeCell ref="F9:G10"/>
    <mergeCell ref="I9:M9"/>
    <mergeCell ref="K7:L7"/>
    <mergeCell ref="E7:G7"/>
    <mergeCell ref="H9:H10"/>
    <mergeCell ref="B11:B19"/>
    <mergeCell ref="C11:C19"/>
    <mergeCell ref="D11:D13"/>
    <mergeCell ref="E11:E13"/>
    <mergeCell ref="D14:D16"/>
    <mergeCell ref="E14:E16"/>
    <mergeCell ref="D17:D19"/>
    <mergeCell ref="E17:E19"/>
    <mergeCell ref="E35:E37"/>
    <mergeCell ref="B20:B28"/>
    <mergeCell ref="C20:C28"/>
    <mergeCell ref="D20:D22"/>
    <mergeCell ref="E20:E22"/>
    <mergeCell ref="D23:D25"/>
    <mergeCell ref="E23:E25"/>
    <mergeCell ref="D26:D28"/>
    <mergeCell ref="E26:E28"/>
    <mergeCell ref="B5:M5"/>
    <mergeCell ref="B38:B46"/>
    <mergeCell ref="C38:C46"/>
    <mergeCell ref="D38:D40"/>
    <mergeCell ref="E38:E40"/>
    <mergeCell ref="D41:D43"/>
    <mergeCell ref="E41:E43"/>
    <mergeCell ref="D44:D46"/>
    <mergeCell ref="E44:E46"/>
    <mergeCell ref="B29:B37"/>
    <mergeCell ref="C29:C37"/>
    <mergeCell ref="D29:D31"/>
    <mergeCell ref="E29:E31"/>
    <mergeCell ref="D32:D34"/>
    <mergeCell ref="E32:E34"/>
    <mergeCell ref="D35:D37"/>
  </mergeCells>
  <pageMargins left="0.7" right="0.7" top="0.78740157499999996" bottom="0.78740157499999996"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7E99-A91C-41AB-A291-5BE9CB47000D}">
  <dimension ref="A1:J20"/>
  <sheetViews>
    <sheetView showGridLines="0" showRowColHeaders="0" zoomScale="90" zoomScaleNormal="90" workbookViewId="0"/>
  </sheetViews>
  <sheetFormatPr defaultColWidth="11.42578125" defaultRowHeight="15"/>
  <cols>
    <col min="1" max="1" width="1" style="1" customWidth="1"/>
    <col min="2" max="2" width="3.42578125" style="1" customWidth="1"/>
    <col min="3" max="3" width="19.7109375" style="1" customWidth="1"/>
    <col min="4" max="4" width="26.85546875" style="1" customWidth="1"/>
    <col min="5" max="5" width="57.85546875" style="1" customWidth="1"/>
    <col min="6" max="7" width="11.5703125" style="1" customWidth="1"/>
    <col min="8" max="10" width="8.5703125" style="1" customWidth="1"/>
  </cols>
  <sheetData>
    <row r="1" spans="1:10" ht="6.6" customHeight="1"/>
    <row r="2" spans="1:10" ht="18">
      <c r="B2" s="421" t="s">
        <v>17</v>
      </c>
      <c r="F2" s="3"/>
      <c r="G2" s="3"/>
      <c r="H2" s="4"/>
      <c r="I2" s="3"/>
      <c r="J2" s="4"/>
    </row>
    <row r="3" spans="1:10" ht="18.95" customHeight="1">
      <c r="A3" s="422"/>
      <c r="B3" s="422" t="s">
        <v>159</v>
      </c>
      <c r="C3" s="422"/>
      <c r="D3" s="422"/>
      <c r="E3" s="422"/>
      <c r="F3" s="422"/>
      <c r="G3" s="422"/>
      <c r="H3" s="422"/>
      <c r="I3" s="422"/>
      <c r="J3" s="422"/>
    </row>
    <row r="4" spans="1:10" ht="6.6" customHeight="1">
      <c r="A4" s="422"/>
      <c r="B4" s="422"/>
      <c r="C4" s="422"/>
      <c r="D4" s="422"/>
      <c r="E4" s="422"/>
      <c r="F4" s="422"/>
      <c r="G4" s="422"/>
      <c r="H4" s="422"/>
      <c r="I4" s="422"/>
      <c r="J4" s="422"/>
    </row>
    <row r="5" spans="1:10" ht="20.45" customHeight="1">
      <c r="A5" s="422"/>
      <c r="B5" s="516" t="s">
        <v>160</v>
      </c>
      <c r="C5" s="517"/>
      <c r="D5" s="517"/>
      <c r="E5" s="517"/>
      <c r="F5" s="517"/>
      <c r="G5" s="517"/>
      <c r="H5" s="517"/>
      <c r="I5" s="517"/>
      <c r="J5" s="518"/>
    </row>
    <row r="6" spans="1:10" ht="8.1" customHeight="1">
      <c r="B6" s="12"/>
      <c r="C6" s="13"/>
      <c r="D6" s="13"/>
      <c r="E6" s="13"/>
      <c r="F6" s="13"/>
      <c r="G6" s="13"/>
      <c r="H6" s="14"/>
      <c r="I6" s="13"/>
      <c r="J6" s="15"/>
    </row>
    <row r="7" spans="1:10" ht="18.95" customHeight="1">
      <c r="B7" s="16"/>
      <c r="C7" s="23" t="s">
        <v>45</v>
      </c>
      <c r="D7" s="521"/>
      <c r="E7" s="455"/>
      <c r="F7" s="47" t="s">
        <v>57</v>
      </c>
      <c r="G7" s="519"/>
      <c r="H7" s="520"/>
      <c r="I7" s="123"/>
      <c r="J7" s="18"/>
    </row>
    <row r="8" spans="1:10" ht="6" customHeight="1">
      <c r="B8" s="19"/>
      <c r="C8" s="20"/>
      <c r="D8" s="20"/>
      <c r="E8" s="20"/>
      <c r="F8" s="20"/>
      <c r="G8" s="20"/>
      <c r="H8" s="21"/>
      <c r="I8" s="20"/>
      <c r="J8" s="22"/>
    </row>
    <row r="9" spans="1:10" ht="20.100000000000001" customHeight="1">
      <c r="B9" s="514" t="s">
        <v>5</v>
      </c>
      <c r="C9" s="476" t="s">
        <v>161</v>
      </c>
      <c r="D9" s="476" t="s">
        <v>162</v>
      </c>
      <c r="E9" s="476" t="s">
        <v>163</v>
      </c>
      <c r="F9" s="514" t="s">
        <v>164</v>
      </c>
      <c r="G9" s="514" t="s">
        <v>165</v>
      </c>
      <c r="H9" s="524" t="s">
        <v>166</v>
      </c>
      <c r="I9" s="525"/>
      <c r="J9" s="526"/>
    </row>
    <row r="10" spans="1:10" ht="20.100000000000001" customHeight="1">
      <c r="A10" s="2"/>
      <c r="B10" s="522"/>
      <c r="C10" s="527"/>
      <c r="D10" s="523"/>
      <c r="E10" s="527"/>
      <c r="F10" s="515"/>
      <c r="G10" s="515"/>
      <c r="H10" s="58" t="s">
        <v>167</v>
      </c>
      <c r="I10" s="10" t="s">
        <v>168</v>
      </c>
      <c r="J10" s="10" t="s">
        <v>169</v>
      </c>
    </row>
    <row r="11" spans="1:10" ht="24.95" customHeight="1">
      <c r="B11" s="10">
        <v>1</v>
      </c>
      <c r="C11" s="118"/>
      <c r="D11" s="119"/>
      <c r="E11" s="119"/>
      <c r="F11" s="120"/>
      <c r="G11" s="120"/>
      <c r="H11" s="120"/>
      <c r="I11" s="120"/>
      <c r="J11" s="120"/>
    </row>
    <row r="12" spans="1:10" ht="24.95" customHeight="1">
      <c r="B12" s="10">
        <f>B11+1</f>
        <v>2</v>
      </c>
      <c r="C12" s="121"/>
      <c r="D12" s="119"/>
      <c r="E12" s="119"/>
      <c r="F12" s="120"/>
      <c r="G12" s="120"/>
      <c r="H12" s="120"/>
      <c r="I12" s="120"/>
      <c r="J12" s="120"/>
    </row>
    <row r="13" spans="1:10" ht="24.95" customHeight="1">
      <c r="B13" s="10">
        <f t="shared" ref="B13:B20" si="0">B12+1</f>
        <v>3</v>
      </c>
      <c r="C13" s="121"/>
      <c r="D13" s="119"/>
      <c r="E13" s="119"/>
      <c r="F13" s="120"/>
      <c r="G13" s="120"/>
      <c r="H13" s="120"/>
      <c r="I13" s="120"/>
      <c r="J13" s="120"/>
    </row>
    <row r="14" spans="1:10" ht="24.95" customHeight="1">
      <c r="B14" s="10">
        <f t="shared" si="0"/>
        <v>4</v>
      </c>
      <c r="C14" s="121"/>
      <c r="D14" s="119"/>
      <c r="E14" s="119"/>
      <c r="F14" s="120"/>
      <c r="G14" s="120"/>
      <c r="H14" s="120"/>
      <c r="I14" s="120"/>
      <c r="J14" s="120"/>
    </row>
    <row r="15" spans="1:10" ht="24.95" customHeight="1">
      <c r="B15" s="10">
        <f t="shared" si="0"/>
        <v>5</v>
      </c>
      <c r="C15" s="121"/>
      <c r="D15" s="119"/>
      <c r="E15" s="119"/>
      <c r="F15" s="120"/>
      <c r="G15" s="120"/>
      <c r="H15" s="120"/>
      <c r="I15" s="120"/>
      <c r="J15" s="120"/>
    </row>
    <row r="16" spans="1:10" ht="24.95" customHeight="1">
      <c r="B16" s="10">
        <f t="shared" si="0"/>
        <v>6</v>
      </c>
      <c r="C16" s="121"/>
      <c r="D16" s="119"/>
      <c r="E16" s="119"/>
      <c r="F16" s="120"/>
      <c r="G16" s="120"/>
      <c r="H16" s="120"/>
      <c r="I16" s="120"/>
      <c r="J16" s="120"/>
    </row>
    <row r="17" spans="2:10" ht="24.95" customHeight="1">
      <c r="B17" s="10">
        <f t="shared" si="0"/>
        <v>7</v>
      </c>
      <c r="C17" s="121"/>
      <c r="D17" s="119"/>
      <c r="E17" s="119"/>
      <c r="F17" s="120"/>
      <c r="G17" s="120"/>
      <c r="H17" s="120"/>
      <c r="I17" s="120"/>
      <c r="J17" s="120"/>
    </row>
    <row r="18" spans="2:10" ht="24.95" customHeight="1">
      <c r="B18" s="10">
        <f t="shared" si="0"/>
        <v>8</v>
      </c>
      <c r="C18" s="119"/>
      <c r="D18" s="119"/>
      <c r="E18" s="119"/>
      <c r="F18" s="120"/>
      <c r="G18" s="120"/>
      <c r="H18" s="120"/>
      <c r="I18" s="120"/>
      <c r="J18" s="120"/>
    </row>
    <row r="19" spans="2:10" ht="24.95" customHeight="1">
      <c r="B19" s="10">
        <f t="shared" si="0"/>
        <v>9</v>
      </c>
      <c r="C19" s="121"/>
      <c r="D19" s="119"/>
      <c r="E19" s="119"/>
      <c r="F19" s="120"/>
      <c r="G19" s="120"/>
      <c r="H19" s="120"/>
      <c r="I19" s="120"/>
      <c r="J19" s="120"/>
    </row>
    <row r="20" spans="2:10" ht="24.95" customHeight="1">
      <c r="B20" s="10">
        <f t="shared" si="0"/>
        <v>10</v>
      </c>
      <c r="C20" s="121"/>
      <c r="D20" s="119"/>
      <c r="E20" s="119"/>
      <c r="F20" s="120"/>
      <c r="G20" s="120"/>
      <c r="H20" s="120"/>
      <c r="I20" s="120"/>
      <c r="J20" s="120"/>
    </row>
  </sheetData>
  <mergeCells count="10">
    <mergeCell ref="B5:J5"/>
    <mergeCell ref="G7:H7"/>
    <mergeCell ref="D7:E7"/>
    <mergeCell ref="B9:B10"/>
    <mergeCell ref="D9:D10"/>
    <mergeCell ref="H9:J9"/>
    <mergeCell ref="F9:F10"/>
    <mergeCell ref="G9:G10"/>
    <mergeCell ref="C9:C10"/>
    <mergeCell ref="E9:E10"/>
  </mergeCells>
  <pageMargins left="0.7" right="0.7" top="0.78740157499999996" bottom="0.78740157499999996"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2DB7-2993-40CE-BC53-B0629C2C2061}">
  <dimension ref="B1:Q28"/>
  <sheetViews>
    <sheetView showGridLines="0" showRowColHeaders="0" zoomScale="80" zoomScaleNormal="80" workbookViewId="0"/>
  </sheetViews>
  <sheetFormatPr defaultColWidth="10.85546875" defaultRowHeight="12.75"/>
  <cols>
    <col min="1" max="1" width="2" style="1" customWidth="1"/>
    <col min="2" max="2" width="5.5703125" style="5" customWidth="1"/>
    <col min="3" max="3" width="20.5703125" style="1" customWidth="1"/>
    <col min="4" max="4" width="35.7109375" style="1" customWidth="1"/>
    <col min="5" max="9" width="6.7109375" style="1" customWidth="1"/>
    <col min="10" max="10" width="4.5703125" style="5" customWidth="1"/>
    <col min="11" max="11" width="10.5703125" style="1" customWidth="1"/>
    <col min="12" max="12" width="45.7109375" style="1" customWidth="1"/>
    <col min="13" max="17" width="6.7109375" style="1" customWidth="1"/>
    <col min="18" max="16384" width="10.85546875" style="1"/>
  </cols>
  <sheetData>
    <row r="1" spans="2:17" ht="5.45" customHeight="1">
      <c r="J1" s="1"/>
      <c r="K1" s="443"/>
      <c r="L1" s="443"/>
      <c r="M1" s="443"/>
      <c r="N1" s="443"/>
      <c r="O1" s="443"/>
      <c r="P1" s="443"/>
      <c r="Q1" s="443"/>
    </row>
    <row r="2" spans="2:17" ht="18">
      <c r="B2" s="421" t="s">
        <v>170</v>
      </c>
      <c r="C2" s="6"/>
      <c r="F2" s="3"/>
      <c r="G2" s="3"/>
      <c r="H2" s="4"/>
      <c r="I2" s="3"/>
      <c r="J2" s="4"/>
      <c r="K2" s="443"/>
      <c r="L2" s="443"/>
      <c r="M2" s="443"/>
      <c r="N2" s="443"/>
      <c r="O2" s="443"/>
      <c r="P2" s="443"/>
      <c r="Q2" s="443"/>
    </row>
    <row r="3" spans="2:17" s="8" customFormat="1" ht="21.75" customHeight="1">
      <c r="B3" s="422" t="s">
        <v>171</v>
      </c>
      <c r="C3" s="422"/>
      <c r="D3" s="1"/>
      <c r="E3" s="1"/>
      <c r="F3" s="1"/>
      <c r="G3" s="1"/>
      <c r="H3" s="1"/>
      <c r="I3" s="1"/>
      <c r="J3" s="1"/>
      <c r="K3" s="1"/>
      <c r="L3" s="1"/>
      <c r="M3" s="1"/>
      <c r="N3" s="1"/>
      <c r="O3" s="1"/>
      <c r="P3" s="1"/>
      <c r="Q3" s="1"/>
    </row>
    <row r="4" spans="2:17" ht="21.6" customHeight="1">
      <c r="B4" s="473" t="s">
        <v>172</v>
      </c>
      <c r="C4" s="547"/>
      <c r="D4" s="547"/>
      <c r="E4" s="547"/>
      <c r="F4" s="547"/>
      <c r="G4" s="547"/>
      <c r="H4" s="547"/>
      <c r="I4" s="547"/>
      <c r="J4" s="547"/>
      <c r="K4" s="547"/>
      <c r="L4" s="547"/>
      <c r="M4" s="547"/>
      <c r="N4" s="547"/>
      <c r="O4" s="547"/>
      <c r="P4" s="547"/>
      <c r="Q4" s="548"/>
    </row>
    <row r="5" spans="2:17" ht="8.4499999999999993" customHeight="1">
      <c r="B5" s="26"/>
      <c r="C5" s="13"/>
      <c r="D5" s="13"/>
      <c r="E5" s="13"/>
      <c r="F5" s="13"/>
      <c r="G5" s="13"/>
      <c r="H5" s="13"/>
      <c r="I5" s="13"/>
      <c r="J5" s="13"/>
      <c r="K5" s="13"/>
      <c r="L5" s="13"/>
      <c r="M5" s="13"/>
      <c r="N5" s="13"/>
      <c r="O5" s="13"/>
      <c r="P5" s="13"/>
      <c r="Q5" s="15"/>
    </row>
    <row r="6" spans="2:17" s="8" customFormat="1" ht="17.100000000000001" customHeight="1">
      <c r="B6" s="530" t="s">
        <v>173</v>
      </c>
      <c r="C6" s="531"/>
      <c r="D6" s="565"/>
      <c r="E6" s="565"/>
      <c r="F6" s="565"/>
      <c r="G6" s="565"/>
      <c r="H6" s="565"/>
      <c r="I6" s="532" t="s">
        <v>174</v>
      </c>
      <c r="J6" s="533"/>
      <c r="K6" s="533"/>
      <c r="L6" s="566"/>
      <c r="M6" s="566"/>
      <c r="N6" s="566"/>
      <c r="O6" s="566"/>
      <c r="P6" s="566"/>
      <c r="Q6" s="124"/>
    </row>
    <row r="7" spans="2:17" s="8" customFormat="1" ht="7.5" customHeight="1">
      <c r="B7" s="132"/>
      <c r="C7" s="419"/>
      <c r="D7" s="134"/>
      <c r="E7" s="134"/>
      <c r="F7" s="134"/>
      <c r="G7" s="134"/>
      <c r="H7" s="134"/>
      <c r="I7" s="133"/>
      <c r="J7" s="446"/>
      <c r="K7" s="419"/>
      <c r="L7" s="567"/>
      <c r="M7" s="567"/>
      <c r="N7" s="567"/>
      <c r="O7" s="567"/>
      <c r="P7" s="567"/>
      <c r="Q7" s="124"/>
    </row>
    <row r="8" spans="2:17" s="8" customFormat="1" ht="17.100000000000001" customHeight="1">
      <c r="B8" s="530" t="s">
        <v>175</v>
      </c>
      <c r="C8" s="531"/>
      <c r="D8" s="565"/>
      <c r="E8" s="568"/>
      <c r="F8" s="568"/>
      <c r="G8" s="568"/>
      <c r="H8" s="568"/>
      <c r="I8" s="133"/>
      <c r="J8" s="446"/>
      <c r="K8" s="419"/>
      <c r="L8" s="567"/>
      <c r="M8" s="567"/>
      <c r="N8" s="567"/>
      <c r="O8" s="567"/>
      <c r="P8" s="567"/>
      <c r="Q8" s="124"/>
    </row>
    <row r="9" spans="2:17" ht="6.95" customHeight="1">
      <c r="B9" s="28"/>
      <c r="C9" s="20"/>
      <c r="D9" s="20"/>
      <c r="E9" s="20"/>
      <c r="F9" s="20"/>
      <c r="G9" s="20"/>
      <c r="H9" s="20"/>
      <c r="I9" s="20"/>
      <c r="J9" s="20"/>
      <c r="K9" s="20"/>
      <c r="L9" s="20"/>
      <c r="M9" s="20"/>
      <c r="N9" s="20"/>
      <c r="O9" s="20"/>
      <c r="P9" s="20"/>
      <c r="Q9" s="22"/>
    </row>
    <row r="10" spans="2:17" ht="21.6" customHeight="1">
      <c r="B10" s="549" t="s">
        <v>176</v>
      </c>
      <c r="C10" s="550"/>
      <c r="D10" s="551"/>
      <c r="E10" s="569" t="s">
        <v>177</v>
      </c>
      <c r="F10" s="570"/>
      <c r="G10" s="570"/>
      <c r="H10" s="570"/>
      <c r="I10" s="571"/>
      <c r="J10" s="534" t="s">
        <v>178</v>
      </c>
      <c r="K10" s="535"/>
      <c r="L10" s="536"/>
      <c r="M10" s="539" t="s">
        <v>179</v>
      </c>
      <c r="N10" s="540"/>
      <c r="O10" s="540"/>
      <c r="P10" s="540"/>
      <c r="Q10" s="541"/>
    </row>
    <row r="11" spans="2:17" ht="25.5" customHeight="1">
      <c r="B11" s="130" t="s">
        <v>5</v>
      </c>
      <c r="C11" s="552" t="s">
        <v>180</v>
      </c>
      <c r="D11" s="553"/>
      <c r="E11" s="127" t="s">
        <v>181</v>
      </c>
      <c r="F11" s="127" t="s">
        <v>103</v>
      </c>
      <c r="G11" s="127" t="s">
        <v>104</v>
      </c>
      <c r="H11" s="127" t="s">
        <v>105</v>
      </c>
      <c r="I11" s="127" t="s">
        <v>106</v>
      </c>
      <c r="J11" s="129" t="s">
        <v>5</v>
      </c>
      <c r="K11" s="554" t="s">
        <v>182</v>
      </c>
      <c r="L11" s="555"/>
      <c r="M11" s="125" t="s">
        <v>181</v>
      </c>
      <c r="N11" s="125" t="s">
        <v>103</v>
      </c>
      <c r="O11" s="125" t="s">
        <v>104</v>
      </c>
      <c r="P11" s="125" t="s">
        <v>105</v>
      </c>
      <c r="Q11" s="125" t="s">
        <v>106</v>
      </c>
    </row>
    <row r="12" spans="2:17" ht="18" customHeight="1">
      <c r="B12" s="128">
        <v>1</v>
      </c>
      <c r="C12" s="528"/>
      <c r="D12" s="537"/>
      <c r="E12" s="131"/>
      <c r="F12" s="131"/>
      <c r="G12" s="131"/>
      <c r="H12" s="131"/>
      <c r="I12" s="131"/>
      <c r="J12" s="126">
        <v>1</v>
      </c>
      <c r="K12" s="528"/>
      <c r="L12" s="537"/>
      <c r="M12" s="131"/>
      <c r="N12" s="131"/>
      <c r="O12" s="131"/>
      <c r="P12" s="131"/>
      <c r="Q12" s="131"/>
    </row>
    <row r="13" spans="2:17" ht="18" customHeight="1">
      <c r="B13" s="128">
        <f>B12+1</f>
        <v>2</v>
      </c>
      <c r="C13" s="528"/>
      <c r="D13" s="537"/>
      <c r="E13" s="131"/>
      <c r="F13" s="131"/>
      <c r="G13" s="131"/>
      <c r="H13" s="131"/>
      <c r="I13" s="131"/>
      <c r="J13" s="126">
        <f>J12+1</f>
        <v>2</v>
      </c>
      <c r="K13" s="528"/>
      <c r="L13" s="537"/>
      <c r="M13" s="131"/>
      <c r="N13" s="131"/>
      <c r="O13" s="131"/>
      <c r="P13" s="131"/>
      <c r="Q13" s="131"/>
    </row>
    <row r="14" spans="2:17" ht="18" customHeight="1">
      <c r="B14" s="128">
        <f t="shared" ref="B14:B26" si="0">B13+1</f>
        <v>3</v>
      </c>
      <c r="C14" s="528"/>
      <c r="D14" s="529"/>
      <c r="E14" s="131"/>
      <c r="F14" s="131"/>
      <c r="G14" s="131"/>
      <c r="H14" s="131"/>
      <c r="I14" s="131"/>
      <c r="J14" s="126">
        <f t="shared" ref="J14:J26" si="1">J13+1</f>
        <v>3</v>
      </c>
      <c r="K14" s="528"/>
      <c r="L14" s="537"/>
      <c r="M14" s="131"/>
      <c r="N14" s="131"/>
      <c r="O14" s="131"/>
      <c r="P14" s="131"/>
      <c r="Q14" s="131"/>
    </row>
    <row r="15" spans="2:17" ht="18" customHeight="1">
      <c r="B15" s="128">
        <f t="shared" si="0"/>
        <v>4</v>
      </c>
      <c r="C15" s="528"/>
      <c r="D15" s="529"/>
      <c r="E15" s="131"/>
      <c r="F15" s="131"/>
      <c r="G15" s="131"/>
      <c r="H15" s="131"/>
      <c r="I15" s="131"/>
      <c r="J15" s="126">
        <f t="shared" si="1"/>
        <v>4</v>
      </c>
      <c r="K15" s="528"/>
      <c r="L15" s="537"/>
      <c r="M15" s="131"/>
      <c r="N15" s="131"/>
      <c r="O15" s="131"/>
      <c r="P15" s="131"/>
      <c r="Q15" s="131"/>
    </row>
    <row r="16" spans="2:17" ht="18" customHeight="1">
      <c r="B16" s="128">
        <f t="shared" si="0"/>
        <v>5</v>
      </c>
      <c r="C16" s="528"/>
      <c r="D16" s="529"/>
      <c r="E16" s="131"/>
      <c r="F16" s="131"/>
      <c r="G16" s="131"/>
      <c r="H16" s="131"/>
      <c r="I16" s="131"/>
      <c r="J16" s="126">
        <f t="shared" si="1"/>
        <v>5</v>
      </c>
      <c r="K16" s="528"/>
      <c r="L16" s="538"/>
      <c r="M16" s="131"/>
      <c r="N16" s="131"/>
      <c r="O16" s="131"/>
      <c r="P16" s="131"/>
      <c r="Q16" s="131"/>
    </row>
    <row r="17" spans="2:17" ht="18" customHeight="1">
      <c r="B17" s="128">
        <f t="shared" si="0"/>
        <v>6</v>
      </c>
      <c r="C17" s="528"/>
      <c r="D17" s="529"/>
      <c r="E17" s="131"/>
      <c r="F17" s="131"/>
      <c r="G17" s="131"/>
      <c r="H17" s="131"/>
      <c r="I17" s="131"/>
      <c r="J17" s="126">
        <f t="shared" si="1"/>
        <v>6</v>
      </c>
      <c r="K17" s="528"/>
      <c r="L17" s="537"/>
      <c r="M17" s="131"/>
      <c r="N17" s="131"/>
      <c r="O17" s="131"/>
      <c r="P17" s="131"/>
      <c r="Q17" s="131"/>
    </row>
    <row r="18" spans="2:17" ht="18" customHeight="1">
      <c r="B18" s="128">
        <f t="shared" si="0"/>
        <v>7</v>
      </c>
      <c r="C18" s="528"/>
      <c r="D18" s="537"/>
      <c r="E18" s="131"/>
      <c r="F18" s="131"/>
      <c r="G18" s="131"/>
      <c r="H18" s="131"/>
      <c r="I18" s="131"/>
      <c r="J18" s="126">
        <f t="shared" si="1"/>
        <v>7</v>
      </c>
      <c r="K18" s="528"/>
      <c r="L18" s="529"/>
      <c r="M18" s="131"/>
      <c r="N18" s="131"/>
      <c r="O18" s="131"/>
      <c r="P18" s="131"/>
      <c r="Q18" s="131"/>
    </row>
    <row r="19" spans="2:17" ht="18" customHeight="1">
      <c r="B19" s="128">
        <f t="shared" si="0"/>
        <v>8</v>
      </c>
      <c r="C19" s="528"/>
      <c r="D19" s="537"/>
      <c r="E19" s="131"/>
      <c r="F19" s="131"/>
      <c r="G19" s="131"/>
      <c r="H19" s="131"/>
      <c r="I19" s="131"/>
      <c r="J19" s="126">
        <f t="shared" si="1"/>
        <v>8</v>
      </c>
      <c r="K19" s="528"/>
      <c r="L19" s="529"/>
      <c r="M19" s="131"/>
      <c r="N19" s="131"/>
      <c r="O19" s="131"/>
      <c r="P19" s="131"/>
      <c r="Q19" s="131"/>
    </row>
    <row r="20" spans="2:17" ht="18" customHeight="1">
      <c r="B20" s="128">
        <f t="shared" si="0"/>
        <v>9</v>
      </c>
      <c r="C20" s="528"/>
      <c r="D20" s="537"/>
      <c r="E20" s="131"/>
      <c r="F20" s="131"/>
      <c r="G20" s="131"/>
      <c r="H20" s="131"/>
      <c r="I20" s="131"/>
      <c r="J20" s="126">
        <f t="shared" si="1"/>
        <v>9</v>
      </c>
      <c r="K20" s="528"/>
      <c r="L20" s="537"/>
      <c r="M20" s="131"/>
      <c r="N20" s="131"/>
      <c r="O20" s="131"/>
      <c r="P20" s="131"/>
      <c r="Q20" s="131"/>
    </row>
    <row r="21" spans="2:17" ht="18" customHeight="1">
      <c r="B21" s="128">
        <f t="shared" si="0"/>
        <v>10</v>
      </c>
      <c r="C21" s="528"/>
      <c r="D21" s="537"/>
      <c r="E21" s="131"/>
      <c r="F21" s="131"/>
      <c r="G21" s="131"/>
      <c r="H21" s="131"/>
      <c r="I21" s="131"/>
      <c r="J21" s="126">
        <f t="shared" si="1"/>
        <v>10</v>
      </c>
      <c r="K21" s="528"/>
      <c r="L21" s="537"/>
      <c r="M21" s="131"/>
      <c r="N21" s="131"/>
      <c r="O21" s="131"/>
      <c r="P21" s="131"/>
      <c r="Q21" s="131"/>
    </row>
    <row r="22" spans="2:17" ht="18" customHeight="1">
      <c r="B22" s="128">
        <f t="shared" si="0"/>
        <v>11</v>
      </c>
      <c r="C22" s="528"/>
      <c r="D22" s="537"/>
      <c r="E22" s="131"/>
      <c r="F22" s="131"/>
      <c r="G22" s="131"/>
      <c r="H22" s="131"/>
      <c r="I22" s="131"/>
      <c r="J22" s="126">
        <f t="shared" si="1"/>
        <v>11</v>
      </c>
      <c r="K22" s="528"/>
      <c r="L22" s="538"/>
      <c r="M22" s="131"/>
      <c r="N22" s="131"/>
      <c r="O22" s="131"/>
      <c r="P22" s="131"/>
      <c r="Q22" s="131"/>
    </row>
    <row r="23" spans="2:17" ht="18" customHeight="1">
      <c r="B23" s="128">
        <f t="shared" si="0"/>
        <v>12</v>
      </c>
      <c r="C23" s="528"/>
      <c r="D23" s="537"/>
      <c r="E23" s="131"/>
      <c r="F23" s="131"/>
      <c r="G23" s="131"/>
      <c r="H23" s="131"/>
      <c r="I23" s="131"/>
      <c r="J23" s="126">
        <f t="shared" si="1"/>
        <v>12</v>
      </c>
      <c r="K23" s="528"/>
      <c r="L23" s="537"/>
      <c r="M23" s="131"/>
      <c r="N23" s="131"/>
      <c r="O23" s="131"/>
      <c r="P23" s="131"/>
      <c r="Q23" s="131"/>
    </row>
    <row r="24" spans="2:17" ht="18" customHeight="1">
      <c r="B24" s="128">
        <f t="shared" si="0"/>
        <v>13</v>
      </c>
      <c r="C24" s="528"/>
      <c r="D24" s="537"/>
      <c r="E24" s="131"/>
      <c r="F24" s="131"/>
      <c r="G24" s="131"/>
      <c r="H24" s="131"/>
      <c r="I24" s="131"/>
      <c r="J24" s="126">
        <f t="shared" si="1"/>
        <v>13</v>
      </c>
      <c r="K24" s="528"/>
      <c r="L24" s="537"/>
      <c r="M24" s="131"/>
      <c r="N24" s="131"/>
      <c r="O24" s="131"/>
      <c r="P24" s="131"/>
      <c r="Q24" s="131"/>
    </row>
    <row r="25" spans="2:17" ht="18" customHeight="1">
      <c r="B25" s="128">
        <f t="shared" si="0"/>
        <v>14</v>
      </c>
      <c r="C25" s="528"/>
      <c r="D25" s="529"/>
      <c r="E25" s="131"/>
      <c r="F25" s="131"/>
      <c r="G25" s="131"/>
      <c r="H25" s="131"/>
      <c r="I25" s="131"/>
      <c r="J25" s="126">
        <f t="shared" si="1"/>
        <v>14</v>
      </c>
      <c r="K25" s="528"/>
      <c r="L25" s="537"/>
      <c r="M25" s="131"/>
      <c r="N25" s="131"/>
      <c r="O25" s="131"/>
      <c r="P25" s="131"/>
      <c r="Q25" s="131"/>
    </row>
    <row r="26" spans="2:17" ht="18" customHeight="1">
      <c r="B26" s="128">
        <f t="shared" si="0"/>
        <v>15</v>
      </c>
      <c r="C26" s="528"/>
      <c r="D26" s="537"/>
      <c r="E26" s="131"/>
      <c r="F26" s="131"/>
      <c r="G26" s="131"/>
      <c r="H26" s="131"/>
      <c r="I26" s="131"/>
      <c r="J26" s="126">
        <f t="shared" si="1"/>
        <v>15</v>
      </c>
      <c r="K26" s="528"/>
      <c r="L26" s="537"/>
      <c r="M26" s="131"/>
      <c r="N26" s="131"/>
      <c r="O26" s="131"/>
      <c r="P26" s="131"/>
      <c r="Q26" s="131"/>
    </row>
    <row r="27" spans="2:17" ht="18" customHeight="1">
      <c r="B27" s="542" t="s">
        <v>183</v>
      </c>
      <c r="C27" s="543"/>
      <c r="D27" s="544"/>
      <c r="E27" s="556"/>
      <c r="F27" s="557"/>
      <c r="G27" s="557"/>
      <c r="H27" s="557"/>
      <c r="I27" s="558"/>
      <c r="J27" s="559" t="s">
        <v>184</v>
      </c>
      <c r="K27" s="560"/>
      <c r="L27" s="561"/>
      <c r="M27" s="562"/>
      <c r="N27" s="563"/>
      <c r="O27" s="563"/>
      <c r="P27" s="563"/>
      <c r="Q27" s="564"/>
    </row>
    <row r="28" spans="2:17" ht="23.45" customHeight="1">
      <c r="B28" s="545" t="s">
        <v>185</v>
      </c>
      <c r="C28" s="546"/>
      <c r="D28" s="546"/>
      <c r="E28" s="546"/>
      <c r="F28" s="546"/>
      <c r="G28" s="546"/>
      <c r="H28" s="546"/>
      <c r="I28" s="546"/>
      <c r="J28" s="546"/>
      <c r="K28" s="546"/>
      <c r="L28" s="546"/>
      <c r="M28" s="546"/>
      <c r="N28" s="546"/>
      <c r="O28" s="546"/>
      <c r="P28" s="546"/>
      <c r="Q28" s="537"/>
    </row>
  </sheetData>
  <mergeCells count="48">
    <mergeCell ref="B27:D27"/>
    <mergeCell ref="B28:Q28"/>
    <mergeCell ref="B4:Q4"/>
    <mergeCell ref="B10:D10"/>
    <mergeCell ref="C11:D11"/>
    <mergeCell ref="C18:D18"/>
    <mergeCell ref="C26:D26"/>
    <mergeCell ref="K11:L11"/>
    <mergeCell ref="K20:L20"/>
    <mergeCell ref="E27:I27"/>
    <mergeCell ref="J27:L27"/>
    <mergeCell ref="M27:Q27"/>
    <mergeCell ref="D6:H6"/>
    <mergeCell ref="L6:P8"/>
    <mergeCell ref="D8:H8"/>
    <mergeCell ref="E10:I10"/>
    <mergeCell ref="M10:Q10"/>
    <mergeCell ref="C21:D21"/>
    <mergeCell ref="C22:D22"/>
    <mergeCell ref="C23:D23"/>
    <mergeCell ref="C12:D12"/>
    <mergeCell ref="C13:D13"/>
    <mergeCell ref="K23:L23"/>
    <mergeCell ref="K18:L18"/>
    <mergeCell ref="K19:L19"/>
    <mergeCell ref="K26:L26"/>
    <mergeCell ref="C19:D19"/>
    <mergeCell ref="C20:D20"/>
    <mergeCell ref="C24:D24"/>
    <mergeCell ref="K12:L12"/>
    <mergeCell ref="K13:L13"/>
    <mergeCell ref="K14:L14"/>
    <mergeCell ref="K15:L15"/>
    <mergeCell ref="K16:L16"/>
    <mergeCell ref="K24:L24"/>
    <mergeCell ref="K25:L25"/>
    <mergeCell ref="K17:L17"/>
    <mergeCell ref="K21:L21"/>
    <mergeCell ref="K22:L22"/>
    <mergeCell ref="C16:D16"/>
    <mergeCell ref="C17:D17"/>
    <mergeCell ref="C25:D25"/>
    <mergeCell ref="B6:C6"/>
    <mergeCell ref="I6:K6"/>
    <mergeCell ref="B8:C8"/>
    <mergeCell ref="C14:D14"/>
    <mergeCell ref="C15:D15"/>
    <mergeCell ref="J10:L10"/>
  </mergeCells>
  <pageMargins left="0.7" right="0.7" top="0.78740157499999996" bottom="0.78740157499999996"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8FB3-6A01-4A90-A8B4-572D5BDA147A}">
  <dimension ref="A1:AT38"/>
  <sheetViews>
    <sheetView showGridLines="0" showRowColHeaders="0" zoomScale="60" zoomScaleNormal="60" workbookViewId="0"/>
  </sheetViews>
  <sheetFormatPr defaultColWidth="11.42578125" defaultRowHeight="14.25"/>
  <cols>
    <col min="1" max="1" width="1" style="1" customWidth="1"/>
    <col min="2" max="2" width="3.42578125" style="1" customWidth="1"/>
    <col min="3" max="3" width="10.7109375" style="1" customWidth="1"/>
    <col min="4" max="4" width="11.28515625" style="1" customWidth="1"/>
    <col min="5" max="5" width="30.140625" style="1" customWidth="1"/>
    <col min="6" max="6" width="8" style="1" customWidth="1"/>
    <col min="7" max="7" width="9.85546875" style="1" customWidth="1"/>
    <col min="8" max="8" width="10" style="1" customWidth="1"/>
    <col min="9" max="9" width="9.5703125" style="1" customWidth="1"/>
    <col min="10" max="10" width="7" style="1" customWidth="1"/>
    <col min="11" max="11" width="7.140625" style="1" customWidth="1"/>
    <col min="12" max="12" width="2.85546875" style="101" customWidth="1"/>
    <col min="13" max="13" width="3.5703125" style="101" customWidth="1"/>
    <col min="14" max="14" width="2.85546875" style="1" bestFit="1" customWidth="1"/>
    <col min="15" max="15" width="2.140625" style="1" bestFit="1" customWidth="1"/>
    <col min="16" max="16" width="6.42578125" style="1" customWidth="1"/>
    <col min="17" max="46" width="4.28515625" style="1" customWidth="1"/>
    <col min="47" max="16384" width="11.42578125" style="101"/>
  </cols>
  <sheetData>
    <row r="1" spans="1:46" ht="6.6" customHeight="1">
      <c r="L1" s="442"/>
      <c r="M1" s="442"/>
    </row>
    <row r="2" spans="1:46" ht="18">
      <c r="B2" s="421" t="s">
        <v>21</v>
      </c>
      <c r="G2" s="3"/>
      <c r="H2" s="3"/>
      <c r="I2" s="3"/>
      <c r="J2" s="3"/>
      <c r="K2" s="3"/>
      <c r="L2" s="442"/>
      <c r="M2" s="442"/>
      <c r="P2" s="590" t="s">
        <v>186</v>
      </c>
      <c r="Q2" s="591"/>
      <c r="R2" s="591"/>
      <c r="S2" s="591"/>
      <c r="T2" s="591"/>
      <c r="U2" s="591"/>
      <c r="V2" s="591"/>
      <c r="W2" s="591"/>
      <c r="X2" s="591"/>
      <c r="Y2" s="591"/>
      <c r="Z2" s="591"/>
      <c r="AA2" s="591"/>
      <c r="AB2" s="591"/>
      <c r="AC2" s="591"/>
      <c r="AD2" s="591"/>
      <c r="AE2" s="591"/>
      <c r="AF2" s="591"/>
      <c r="AG2" s="591"/>
      <c r="AH2" s="591"/>
      <c r="AI2" s="591"/>
      <c r="AJ2" s="591"/>
      <c r="AK2" s="591"/>
      <c r="AL2" s="591"/>
      <c r="AM2" s="591"/>
      <c r="AN2" s="591"/>
      <c r="AO2" s="591"/>
      <c r="AP2" s="591"/>
      <c r="AQ2" s="591"/>
      <c r="AR2" s="591"/>
      <c r="AS2" s="591"/>
      <c r="AT2" s="591"/>
    </row>
    <row r="3" spans="1:46" ht="15" customHeight="1">
      <c r="A3" s="422"/>
      <c r="B3" s="422" t="s">
        <v>187</v>
      </c>
      <c r="C3" s="422"/>
      <c r="D3" s="422"/>
      <c r="E3" s="422"/>
      <c r="F3" s="422"/>
      <c r="G3" s="422"/>
      <c r="H3" s="422"/>
      <c r="I3" s="422"/>
      <c r="J3" s="422"/>
      <c r="K3" s="422"/>
      <c r="L3" s="442"/>
      <c r="M3" s="442"/>
      <c r="P3" s="422" t="s">
        <v>188</v>
      </c>
      <c r="AJ3" s="1" t="s">
        <v>189</v>
      </c>
    </row>
    <row r="4" spans="1:46" ht="6.6" customHeight="1">
      <c r="A4" s="422"/>
      <c r="B4" s="422"/>
      <c r="C4" s="422"/>
      <c r="D4" s="422"/>
      <c r="E4" s="422"/>
      <c r="F4" s="422"/>
      <c r="G4" s="422"/>
      <c r="H4" s="422"/>
      <c r="I4" s="422"/>
      <c r="J4" s="422"/>
      <c r="K4" s="422"/>
      <c r="L4" s="442"/>
      <c r="M4" s="442"/>
    </row>
    <row r="5" spans="1:46" ht="18.75" customHeight="1">
      <c r="A5" s="422"/>
      <c r="B5" s="516" t="s">
        <v>190</v>
      </c>
      <c r="C5" s="517"/>
      <c r="D5" s="517"/>
      <c r="E5" s="517"/>
      <c r="F5" s="517"/>
      <c r="G5" s="517"/>
      <c r="H5" s="517"/>
      <c r="I5" s="517"/>
      <c r="J5" s="517"/>
      <c r="K5" s="518"/>
      <c r="L5" s="442"/>
      <c r="M5" s="592" t="s">
        <v>191</v>
      </c>
      <c r="N5" s="577">
        <v>3</v>
      </c>
      <c r="O5" s="136">
        <v>9</v>
      </c>
      <c r="P5" s="587" t="s">
        <v>105</v>
      </c>
      <c r="Q5" s="142"/>
      <c r="R5" s="143"/>
      <c r="S5" s="143"/>
      <c r="T5" s="143"/>
      <c r="U5" s="143"/>
      <c r="V5" s="143"/>
      <c r="W5" s="143"/>
      <c r="X5" s="143"/>
      <c r="Y5" s="143"/>
      <c r="Z5" s="144"/>
      <c r="AA5" s="142"/>
      <c r="AB5" s="143"/>
      <c r="AC5" s="143"/>
      <c r="AD5" s="143"/>
      <c r="AE5" s="143"/>
      <c r="AF5" s="143"/>
      <c r="AG5" s="143"/>
      <c r="AH5" s="143"/>
      <c r="AI5" s="143"/>
      <c r="AJ5" s="144"/>
      <c r="AK5" s="145"/>
      <c r="AL5" s="146"/>
      <c r="AM5" s="146"/>
      <c r="AN5" s="146"/>
      <c r="AO5" s="146"/>
      <c r="AP5" s="146"/>
      <c r="AQ5" s="146"/>
      <c r="AR5" s="146"/>
      <c r="AS5" s="146"/>
      <c r="AT5" s="147"/>
    </row>
    <row r="6" spans="1:46" ht="18" customHeight="1">
      <c r="B6" s="12"/>
      <c r="C6" s="13"/>
      <c r="D6" s="13"/>
      <c r="E6" s="13"/>
      <c r="F6" s="13"/>
      <c r="G6" s="13"/>
      <c r="H6" s="13"/>
      <c r="I6" s="13"/>
      <c r="J6" s="13"/>
      <c r="K6" s="15"/>
      <c r="L6" s="442"/>
      <c r="M6" s="592"/>
      <c r="N6" s="577"/>
      <c r="O6" s="136">
        <v>8</v>
      </c>
      <c r="P6" s="588"/>
      <c r="Q6" s="148"/>
      <c r="R6" s="149"/>
      <c r="S6" s="149"/>
      <c r="T6" s="149"/>
      <c r="U6" s="149"/>
      <c r="V6" s="149"/>
      <c r="W6" s="149"/>
      <c r="X6" s="149"/>
      <c r="Y6" s="149"/>
      <c r="Z6" s="150"/>
      <c r="AA6" s="148"/>
      <c r="AB6" s="149"/>
      <c r="AC6" s="149"/>
      <c r="AD6" s="149"/>
      <c r="AE6" s="149"/>
      <c r="AF6" s="149"/>
      <c r="AG6" s="149"/>
      <c r="AH6" s="149"/>
      <c r="AI6" s="149"/>
      <c r="AJ6" s="150"/>
      <c r="AK6" s="151"/>
      <c r="AL6" s="152"/>
      <c r="AM6" s="152"/>
      <c r="AN6" s="152"/>
      <c r="AO6" s="152"/>
      <c r="AP6" s="152"/>
      <c r="AQ6" s="152"/>
      <c r="AR6" s="152"/>
      <c r="AS6" s="152"/>
      <c r="AT6" s="153"/>
    </row>
    <row r="7" spans="1:46" ht="18" customHeight="1">
      <c r="B7" s="16"/>
      <c r="C7" s="23" t="s">
        <v>45</v>
      </c>
      <c r="D7" s="593"/>
      <c r="E7" s="593"/>
      <c r="F7" s="133"/>
      <c r="G7" s="23" t="s">
        <v>57</v>
      </c>
      <c r="H7" s="594"/>
      <c r="I7" s="595"/>
      <c r="J7" s="141"/>
      <c r="K7" s="124"/>
      <c r="L7" s="442"/>
      <c r="M7" s="592"/>
      <c r="N7" s="577"/>
      <c r="O7" s="136">
        <v>7</v>
      </c>
      <c r="P7" s="588"/>
      <c r="Q7" s="148"/>
      <c r="R7" s="149"/>
      <c r="S7" s="149"/>
      <c r="T7" s="149"/>
      <c r="U7" s="149"/>
      <c r="V7" s="149"/>
      <c r="W7" s="149"/>
      <c r="X7" s="149"/>
      <c r="Y7" s="149"/>
      <c r="Z7" s="150"/>
      <c r="AA7" s="148"/>
      <c r="AB7" s="149"/>
      <c r="AC7" s="149"/>
      <c r="AD7" s="149"/>
      <c r="AE7" s="149"/>
      <c r="AF7" s="149"/>
      <c r="AG7" s="149"/>
      <c r="AH7" s="149"/>
      <c r="AI7" s="149"/>
      <c r="AJ7" s="150"/>
      <c r="AK7" s="151"/>
      <c r="AL7" s="152"/>
      <c r="AM7" s="152"/>
      <c r="AN7" s="152"/>
      <c r="AO7" s="152"/>
      <c r="AP7" s="152"/>
      <c r="AQ7" s="152"/>
      <c r="AR7" s="152"/>
      <c r="AS7" s="152"/>
      <c r="AT7" s="153"/>
    </row>
    <row r="8" spans="1:46" ht="18" customHeight="1">
      <c r="B8" s="19"/>
      <c r="C8" s="20"/>
      <c r="D8" s="20"/>
      <c r="E8" s="20"/>
      <c r="F8" s="20"/>
      <c r="G8" s="20"/>
      <c r="H8" s="20"/>
      <c r="I8" s="20"/>
      <c r="J8" s="20"/>
      <c r="K8" s="22"/>
      <c r="L8" s="442"/>
      <c r="M8" s="592"/>
      <c r="N8" s="577"/>
      <c r="O8" s="136">
        <v>6</v>
      </c>
      <c r="P8" s="588"/>
      <c r="Q8" s="148"/>
      <c r="R8" s="149"/>
      <c r="S8" s="149"/>
      <c r="T8" s="149"/>
      <c r="U8" s="149"/>
      <c r="V8" s="149"/>
      <c r="W8" s="149"/>
      <c r="X8" s="149"/>
      <c r="Y8" s="149"/>
      <c r="Z8" s="150"/>
      <c r="AA8" s="148"/>
      <c r="AB8" s="149"/>
      <c r="AC8" s="149"/>
      <c r="AD8" s="149"/>
      <c r="AE8" s="149"/>
      <c r="AF8" s="149"/>
      <c r="AG8" s="149"/>
      <c r="AH8" s="149"/>
      <c r="AI8" s="149"/>
      <c r="AJ8" s="150"/>
      <c r="AK8" s="151"/>
      <c r="AL8" s="152"/>
      <c r="AM8" s="152"/>
      <c r="AN8" s="152"/>
      <c r="AO8" s="152"/>
      <c r="AP8" s="152"/>
      <c r="AQ8" s="152"/>
      <c r="AR8" s="152"/>
      <c r="AS8" s="152"/>
      <c r="AT8" s="153"/>
    </row>
    <row r="9" spans="1:46" ht="18" customHeight="1">
      <c r="B9" s="514" t="s">
        <v>5</v>
      </c>
      <c r="C9" s="597" t="s">
        <v>192</v>
      </c>
      <c r="D9" s="598"/>
      <c r="E9" s="597" t="s">
        <v>193</v>
      </c>
      <c r="F9" s="598"/>
      <c r="G9" s="603" t="s">
        <v>194</v>
      </c>
      <c r="H9" s="603" t="s">
        <v>195</v>
      </c>
      <c r="I9" s="603" t="s">
        <v>196</v>
      </c>
      <c r="J9" s="603" t="s">
        <v>197</v>
      </c>
      <c r="K9" s="603" t="s">
        <v>197</v>
      </c>
      <c r="L9" s="442"/>
      <c r="M9" s="592"/>
      <c r="N9" s="577"/>
      <c r="O9" s="136">
        <v>5</v>
      </c>
      <c r="P9" s="588"/>
      <c r="Q9" s="148"/>
      <c r="R9" s="149"/>
      <c r="S9" s="149"/>
      <c r="T9" s="149"/>
      <c r="U9" s="149"/>
      <c r="V9" s="149"/>
      <c r="W9" s="149"/>
      <c r="X9" s="149"/>
      <c r="Y9" s="149"/>
      <c r="Z9" s="150"/>
      <c r="AA9" s="148"/>
      <c r="AB9" s="149"/>
      <c r="AC9" s="149"/>
      <c r="AD9" s="149"/>
      <c r="AE9" s="149"/>
      <c r="AF9" s="149"/>
      <c r="AG9" s="149"/>
      <c r="AH9" s="149"/>
      <c r="AI9" s="149"/>
      <c r="AJ9" s="150"/>
      <c r="AK9" s="151"/>
      <c r="AL9" s="152"/>
      <c r="AM9" s="152"/>
      <c r="AN9" s="152"/>
      <c r="AO9" s="152"/>
      <c r="AP9" s="152"/>
      <c r="AQ9" s="152"/>
      <c r="AR9" s="152"/>
      <c r="AS9" s="152"/>
      <c r="AT9" s="153"/>
    </row>
    <row r="10" spans="1:46" ht="18" customHeight="1">
      <c r="A10" s="2"/>
      <c r="B10" s="596"/>
      <c r="C10" s="599"/>
      <c r="D10" s="600"/>
      <c r="E10" s="599"/>
      <c r="F10" s="600"/>
      <c r="G10" s="604"/>
      <c r="H10" s="604"/>
      <c r="I10" s="515"/>
      <c r="J10" s="515"/>
      <c r="K10" s="604"/>
      <c r="L10" s="442"/>
      <c r="M10" s="592"/>
      <c r="N10" s="577"/>
      <c r="O10" s="136">
        <v>4</v>
      </c>
      <c r="P10" s="588"/>
      <c r="Q10" s="148"/>
      <c r="R10" s="149"/>
      <c r="S10" s="149"/>
      <c r="T10" s="149"/>
      <c r="U10" s="149"/>
      <c r="V10" s="149"/>
      <c r="W10" s="149"/>
      <c r="X10" s="149"/>
      <c r="Y10" s="149"/>
      <c r="Z10" s="150"/>
      <c r="AA10" s="148"/>
      <c r="AB10" s="149"/>
      <c r="AC10" s="149"/>
      <c r="AD10" s="149"/>
      <c r="AE10" s="149"/>
      <c r="AF10" s="149"/>
      <c r="AG10" s="149"/>
      <c r="AH10" s="149"/>
      <c r="AI10" s="149"/>
      <c r="AJ10" s="150"/>
      <c r="AK10" s="151"/>
      <c r="AL10" s="152"/>
      <c r="AM10" s="152"/>
      <c r="AN10" s="152"/>
      <c r="AO10" s="152"/>
      <c r="AP10" s="152"/>
      <c r="AQ10" s="152"/>
      <c r="AR10" s="152"/>
      <c r="AS10" s="152"/>
      <c r="AT10" s="153"/>
    </row>
    <row r="11" spans="1:46" ht="18" customHeight="1">
      <c r="B11" s="515"/>
      <c r="C11" s="601"/>
      <c r="D11" s="602"/>
      <c r="E11" s="601"/>
      <c r="F11" s="602"/>
      <c r="G11" s="135" t="s">
        <v>198</v>
      </c>
      <c r="H11" s="135" t="s">
        <v>199</v>
      </c>
      <c r="I11" s="135" t="s">
        <v>200</v>
      </c>
      <c r="J11" s="135">
        <v>123</v>
      </c>
      <c r="K11" s="135" t="s">
        <v>201</v>
      </c>
      <c r="L11" s="442"/>
      <c r="M11" s="592"/>
      <c r="N11" s="577"/>
      <c r="O11" s="136">
        <v>3</v>
      </c>
      <c r="P11" s="588"/>
      <c r="Q11" s="148"/>
      <c r="R11" s="149"/>
      <c r="S11" s="149"/>
      <c r="T11" s="149"/>
      <c r="U11" s="149"/>
      <c r="V11" s="149"/>
      <c r="W11" s="149"/>
      <c r="X11" s="149"/>
      <c r="Y11" s="149"/>
      <c r="Z11" s="150"/>
      <c r="AA11" s="148"/>
      <c r="AB11" s="149"/>
      <c r="AC11" s="149"/>
      <c r="AD11" s="149"/>
      <c r="AE11" s="149"/>
      <c r="AF11" s="149"/>
      <c r="AG11" s="149"/>
      <c r="AH11" s="149"/>
      <c r="AI11" s="149"/>
      <c r="AJ11" s="150"/>
      <c r="AK11" s="151"/>
      <c r="AL11" s="152"/>
      <c r="AM11" s="152"/>
      <c r="AN11" s="152"/>
      <c r="AO11" s="152"/>
      <c r="AP11" s="152"/>
      <c r="AQ11" s="152"/>
      <c r="AR11" s="152"/>
      <c r="AS11" s="152"/>
      <c r="AT11" s="153"/>
    </row>
    <row r="12" spans="1:46" ht="18" customHeight="1">
      <c r="B12" s="476">
        <v>1</v>
      </c>
      <c r="C12" s="578"/>
      <c r="D12" s="579"/>
      <c r="E12" s="578"/>
      <c r="F12" s="584"/>
      <c r="G12" s="582"/>
      <c r="H12" s="582"/>
      <c r="I12" s="582"/>
      <c r="J12" s="573"/>
      <c r="K12" s="573"/>
      <c r="L12" s="442"/>
      <c r="M12" s="592"/>
      <c r="N12" s="577"/>
      <c r="O12" s="136">
        <v>2</v>
      </c>
      <c r="P12" s="588"/>
      <c r="Q12" s="148"/>
      <c r="R12" s="149"/>
      <c r="S12" s="149"/>
      <c r="T12" s="149"/>
      <c r="U12" s="149"/>
      <c r="V12" s="149"/>
      <c r="W12" s="149"/>
      <c r="X12" s="149"/>
      <c r="Y12" s="149"/>
      <c r="Z12" s="150"/>
      <c r="AA12" s="148"/>
      <c r="AB12" s="149"/>
      <c r="AC12" s="149"/>
      <c r="AD12" s="149"/>
      <c r="AE12" s="149"/>
      <c r="AF12" s="149"/>
      <c r="AG12" s="149"/>
      <c r="AH12" s="149"/>
      <c r="AI12" s="149"/>
      <c r="AJ12" s="150"/>
      <c r="AK12" s="151"/>
      <c r="AL12" s="152"/>
      <c r="AM12" s="152"/>
      <c r="AN12" s="152"/>
      <c r="AO12" s="152"/>
      <c r="AP12" s="152"/>
      <c r="AQ12" s="152"/>
      <c r="AR12" s="152"/>
      <c r="AS12" s="152"/>
      <c r="AT12" s="153"/>
    </row>
    <row r="13" spans="1:46" ht="18" customHeight="1">
      <c r="B13" s="527"/>
      <c r="C13" s="580"/>
      <c r="D13" s="581"/>
      <c r="E13" s="585"/>
      <c r="F13" s="586"/>
      <c r="G13" s="583"/>
      <c r="H13" s="583"/>
      <c r="I13" s="583"/>
      <c r="J13" s="515"/>
      <c r="K13" s="515"/>
      <c r="L13" s="442"/>
      <c r="M13" s="592"/>
      <c r="N13" s="577"/>
      <c r="O13" s="136">
        <v>1</v>
      </c>
      <c r="P13" s="588"/>
      <c r="Q13" s="148"/>
      <c r="R13" s="149"/>
      <c r="S13" s="149"/>
      <c r="T13" s="149"/>
      <c r="U13" s="149"/>
      <c r="V13" s="149"/>
      <c r="W13" s="149"/>
      <c r="X13" s="149"/>
      <c r="Y13" s="149"/>
      <c r="Z13" s="150"/>
      <c r="AA13" s="148"/>
      <c r="AB13" s="149"/>
      <c r="AC13" s="149"/>
      <c r="AD13" s="149"/>
      <c r="AE13" s="149"/>
      <c r="AF13" s="149"/>
      <c r="AG13" s="149"/>
      <c r="AH13" s="149"/>
      <c r="AI13" s="149"/>
      <c r="AJ13" s="150"/>
      <c r="AK13" s="151"/>
      <c r="AL13" s="152"/>
      <c r="AM13" s="152"/>
      <c r="AN13" s="152"/>
      <c r="AO13" s="152"/>
      <c r="AP13" s="152"/>
      <c r="AQ13" s="152"/>
      <c r="AR13" s="152"/>
      <c r="AS13" s="152"/>
      <c r="AT13" s="153"/>
    </row>
    <row r="14" spans="1:46" ht="18" customHeight="1">
      <c r="B14" s="476">
        <v>2</v>
      </c>
      <c r="C14" s="578"/>
      <c r="D14" s="579"/>
      <c r="E14" s="578"/>
      <c r="F14" s="584"/>
      <c r="G14" s="582"/>
      <c r="H14" s="582"/>
      <c r="I14" s="582"/>
      <c r="J14" s="573"/>
      <c r="K14" s="573"/>
      <c r="L14" s="442"/>
      <c r="M14" s="592"/>
      <c r="N14" s="577"/>
      <c r="O14" s="136">
        <v>0</v>
      </c>
      <c r="P14" s="589"/>
      <c r="Q14" s="155"/>
      <c r="R14" s="156"/>
      <c r="S14" s="156"/>
      <c r="T14" s="156"/>
      <c r="U14" s="156"/>
      <c r="V14" s="156"/>
      <c r="W14" s="156"/>
      <c r="X14" s="156"/>
      <c r="Y14" s="156"/>
      <c r="Z14" s="157"/>
      <c r="AA14" s="155"/>
      <c r="AB14" s="156"/>
      <c r="AC14" s="156"/>
      <c r="AD14" s="156"/>
      <c r="AE14" s="156"/>
      <c r="AF14" s="156"/>
      <c r="AG14" s="156"/>
      <c r="AH14" s="156"/>
      <c r="AI14" s="156"/>
      <c r="AJ14" s="157"/>
      <c r="AK14" s="158"/>
      <c r="AL14" s="159"/>
      <c r="AM14" s="159"/>
      <c r="AN14" s="159"/>
      <c r="AO14" s="159"/>
      <c r="AP14" s="159"/>
      <c r="AQ14" s="159"/>
      <c r="AR14" s="159"/>
      <c r="AS14" s="159"/>
      <c r="AT14" s="160"/>
    </row>
    <row r="15" spans="1:46" ht="18" customHeight="1">
      <c r="B15" s="527"/>
      <c r="C15" s="580"/>
      <c r="D15" s="581"/>
      <c r="E15" s="585"/>
      <c r="F15" s="586"/>
      <c r="G15" s="583"/>
      <c r="H15" s="583"/>
      <c r="I15" s="583"/>
      <c r="J15" s="515"/>
      <c r="K15" s="515"/>
      <c r="L15" s="442"/>
      <c r="M15" s="592"/>
      <c r="N15" s="577">
        <v>2</v>
      </c>
      <c r="O15" s="136">
        <v>9</v>
      </c>
      <c r="P15" s="587" t="s">
        <v>104</v>
      </c>
      <c r="Q15" s="142"/>
      <c r="R15" s="143"/>
      <c r="S15" s="143"/>
      <c r="T15" s="143"/>
      <c r="U15" s="143"/>
      <c r="V15" s="143"/>
      <c r="W15" s="143"/>
      <c r="X15" s="143"/>
      <c r="Y15" s="143"/>
      <c r="Z15" s="144"/>
      <c r="AA15" s="145"/>
      <c r="AB15" s="146"/>
      <c r="AC15" s="146"/>
      <c r="AD15" s="146"/>
      <c r="AE15" s="146"/>
      <c r="AF15" s="146"/>
      <c r="AG15" s="146"/>
      <c r="AH15" s="146"/>
      <c r="AI15" s="146"/>
      <c r="AJ15" s="147"/>
      <c r="AK15" s="162"/>
      <c r="AL15" s="163"/>
      <c r="AM15" s="163"/>
      <c r="AN15" s="163"/>
      <c r="AO15" s="163"/>
      <c r="AP15" s="163"/>
      <c r="AQ15" s="163"/>
      <c r="AR15" s="163"/>
      <c r="AS15" s="163"/>
      <c r="AT15" s="164"/>
    </row>
    <row r="16" spans="1:46" ht="18" customHeight="1">
      <c r="B16" s="476">
        <v>3</v>
      </c>
      <c r="C16" s="578"/>
      <c r="D16" s="579"/>
      <c r="E16" s="578"/>
      <c r="F16" s="584"/>
      <c r="G16" s="582"/>
      <c r="H16" s="582"/>
      <c r="I16" s="582"/>
      <c r="J16" s="573"/>
      <c r="K16" s="573"/>
      <c r="L16" s="442"/>
      <c r="M16" s="592"/>
      <c r="N16" s="577"/>
      <c r="O16" s="136">
        <v>8</v>
      </c>
      <c r="P16" s="588"/>
      <c r="Q16" s="148"/>
      <c r="R16" s="149"/>
      <c r="S16" s="149"/>
      <c r="T16" s="149"/>
      <c r="U16" s="149"/>
      <c r="V16" s="149"/>
      <c r="W16" s="149"/>
      <c r="X16" s="149"/>
      <c r="Y16" s="149"/>
      <c r="Z16" s="150"/>
      <c r="AA16" s="151"/>
      <c r="AB16" s="152"/>
      <c r="AC16" s="152"/>
      <c r="AD16" s="152"/>
      <c r="AE16" s="152"/>
      <c r="AF16" s="152"/>
      <c r="AG16" s="152"/>
      <c r="AH16" s="152"/>
      <c r="AI16" s="152"/>
      <c r="AJ16" s="153"/>
      <c r="AK16" s="165"/>
      <c r="AL16" s="166"/>
      <c r="AM16" s="166"/>
      <c r="AN16" s="166"/>
      <c r="AO16" s="166"/>
      <c r="AP16" s="166"/>
      <c r="AQ16" s="166"/>
      <c r="AR16" s="166"/>
      <c r="AS16" s="166"/>
      <c r="AT16" s="167"/>
    </row>
    <row r="17" spans="2:46" ht="18" customHeight="1">
      <c r="B17" s="527"/>
      <c r="C17" s="580"/>
      <c r="D17" s="581"/>
      <c r="E17" s="585"/>
      <c r="F17" s="586"/>
      <c r="G17" s="583"/>
      <c r="H17" s="583"/>
      <c r="I17" s="583"/>
      <c r="J17" s="515"/>
      <c r="K17" s="515"/>
      <c r="L17" s="442"/>
      <c r="M17" s="592"/>
      <c r="N17" s="577"/>
      <c r="O17" s="136">
        <v>7</v>
      </c>
      <c r="P17" s="588"/>
      <c r="Q17" s="148"/>
      <c r="R17" s="149"/>
      <c r="S17" s="149"/>
      <c r="T17" s="149"/>
      <c r="U17" s="149"/>
      <c r="V17" s="149"/>
      <c r="W17" s="149"/>
      <c r="X17" s="149"/>
      <c r="Y17" s="149"/>
      <c r="Z17" s="150"/>
      <c r="AA17" s="151"/>
      <c r="AB17" s="152"/>
      <c r="AC17" s="152"/>
      <c r="AD17" s="152"/>
      <c r="AE17" s="152"/>
      <c r="AF17" s="152"/>
      <c r="AG17" s="152"/>
      <c r="AH17" s="152"/>
      <c r="AI17" s="152"/>
      <c r="AJ17" s="153"/>
      <c r="AK17" s="165"/>
      <c r="AL17" s="166"/>
      <c r="AM17" s="166"/>
      <c r="AN17" s="166"/>
      <c r="AO17" s="166"/>
      <c r="AP17" s="166"/>
      <c r="AQ17" s="166"/>
      <c r="AR17" s="166"/>
      <c r="AS17" s="166"/>
      <c r="AT17" s="167"/>
    </row>
    <row r="18" spans="2:46" ht="18" customHeight="1">
      <c r="B18" s="476">
        <v>4</v>
      </c>
      <c r="C18" s="578"/>
      <c r="D18" s="579"/>
      <c r="E18" s="578"/>
      <c r="F18" s="584"/>
      <c r="G18" s="582"/>
      <c r="H18" s="582"/>
      <c r="I18" s="582"/>
      <c r="J18" s="573"/>
      <c r="K18" s="573"/>
      <c r="L18" s="442"/>
      <c r="M18" s="592"/>
      <c r="N18" s="577"/>
      <c r="O18" s="136">
        <v>6</v>
      </c>
      <c r="P18" s="588"/>
      <c r="Q18" s="148"/>
      <c r="R18" s="149"/>
      <c r="S18" s="149"/>
      <c r="T18" s="149"/>
      <c r="U18" s="149"/>
      <c r="V18" s="149"/>
      <c r="W18" s="149"/>
      <c r="X18" s="149"/>
      <c r="Y18" s="149"/>
      <c r="Z18" s="150"/>
      <c r="AA18" s="151"/>
      <c r="AB18" s="152"/>
      <c r="AC18" s="152"/>
      <c r="AD18" s="152"/>
      <c r="AE18" s="152"/>
      <c r="AF18" s="152"/>
      <c r="AG18" s="152"/>
      <c r="AH18" s="152"/>
      <c r="AI18" s="152"/>
      <c r="AJ18" s="153"/>
      <c r="AK18" s="165"/>
      <c r="AL18" s="166"/>
      <c r="AM18" s="166"/>
      <c r="AN18" s="166"/>
      <c r="AO18" s="166"/>
      <c r="AP18" s="166"/>
      <c r="AQ18" s="166"/>
      <c r="AR18" s="166"/>
      <c r="AS18" s="166"/>
      <c r="AT18" s="167"/>
    </row>
    <row r="19" spans="2:46" ht="18" customHeight="1">
      <c r="B19" s="527"/>
      <c r="C19" s="580"/>
      <c r="D19" s="581"/>
      <c r="E19" s="585"/>
      <c r="F19" s="586"/>
      <c r="G19" s="583"/>
      <c r="H19" s="583"/>
      <c r="I19" s="583"/>
      <c r="J19" s="515"/>
      <c r="K19" s="515"/>
      <c r="L19" s="442"/>
      <c r="M19" s="592"/>
      <c r="N19" s="577"/>
      <c r="O19" s="136">
        <v>5</v>
      </c>
      <c r="P19" s="588"/>
      <c r="Q19" s="148"/>
      <c r="R19" s="149"/>
      <c r="S19" s="149"/>
      <c r="T19" s="149"/>
      <c r="U19" s="149"/>
      <c r="V19" s="149"/>
      <c r="W19" s="149"/>
      <c r="X19" s="149"/>
      <c r="Y19" s="149"/>
      <c r="Z19" s="150"/>
      <c r="AA19" s="151"/>
      <c r="AB19" s="152"/>
      <c r="AC19" s="152"/>
      <c r="AD19" s="152"/>
      <c r="AE19" s="152"/>
      <c r="AF19" s="152"/>
      <c r="AG19" s="152"/>
      <c r="AH19" s="152"/>
      <c r="AI19" s="152"/>
      <c r="AJ19" s="153"/>
      <c r="AK19" s="165"/>
      <c r="AL19" s="166"/>
      <c r="AM19" s="166"/>
      <c r="AN19" s="166"/>
      <c r="AO19" s="166"/>
      <c r="AP19" s="166"/>
      <c r="AQ19" s="166"/>
      <c r="AR19" s="166"/>
      <c r="AS19" s="166"/>
      <c r="AT19" s="167"/>
    </row>
    <row r="20" spans="2:46" ht="18" customHeight="1">
      <c r="B20" s="476">
        <v>5</v>
      </c>
      <c r="C20" s="578"/>
      <c r="D20" s="579"/>
      <c r="E20" s="578"/>
      <c r="F20" s="584"/>
      <c r="G20" s="582"/>
      <c r="H20" s="582"/>
      <c r="I20" s="582"/>
      <c r="J20" s="573"/>
      <c r="K20" s="573"/>
      <c r="L20" s="442"/>
      <c r="M20" s="592"/>
      <c r="N20" s="577"/>
      <c r="O20" s="136">
        <v>4</v>
      </c>
      <c r="P20" s="588"/>
      <c r="Q20" s="148"/>
      <c r="R20" s="149"/>
      <c r="S20" s="149"/>
      <c r="T20" s="149"/>
      <c r="U20" s="149"/>
      <c r="V20" s="149"/>
      <c r="W20" s="149"/>
      <c r="X20" s="149"/>
      <c r="Y20" s="149"/>
      <c r="Z20" s="150"/>
      <c r="AA20" s="151"/>
      <c r="AB20" s="152"/>
      <c r="AC20" s="152"/>
      <c r="AD20" s="152"/>
      <c r="AE20" s="152"/>
      <c r="AF20" s="152"/>
      <c r="AG20" s="152"/>
      <c r="AH20" s="152"/>
      <c r="AI20" s="152"/>
      <c r="AJ20" s="153"/>
      <c r="AK20" s="165"/>
      <c r="AL20" s="166"/>
      <c r="AM20" s="166"/>
      <c r="AN20" s="166"/>
      <c r="AO20" s="166"/>
      <c r="AP20" s="166"/>
      <c r="AQ20" s="166"/>
      <c r="AR20" s="166"/>
      <c r="AS20" s="166"/>
      <c r="AT20" s="167"/>
    </row>
    <row r="21" spans="2:46" ht="18" customHeight="1">
      <c r="B21" s="527"/>
      <c r="C21" s="580"/>
      <c r="D21" s="581"/>
      <c r="E21" s="585"/>
      <c r="F21" s="586"/>
      <c r="G21" s="583"/>
      <c r="H21" s="583"/>
      <c r="I21" s="583"/>
      <c r="J21" s="515"/>
      <c r="K21" s="515"/>
      <c r="L21" s="442"/>
      <c r="M21" s="592"/>
      <c r="N21" s="577"/>
      <c r="O21" s="136">
        <v>3</v>
      </c>
      <c r="P21" s="588"/>
      <c r="Q21" s="148"/>
      <c r="R21" s="149"/>
      <c r="S21" s="149"/>
      <c r="T21" s="149"/>
      <c r="U21" s="149"/>
      <c r="V21" s="149"/>
      <c r="W21" s="149"/>
      <c r="X21" s="149"/>
      <c r="Y21" s="149"/>
      <c r="Z21" s="150"/>
      <c r="AA21" s="151"/>
      <c r="AB21" s="152"/>
      <c r="AC21" s="152"/>
      <c r="AD21" s="152"/>
      <c r="AE21" s="152"/>
      <c r="AF21" s="152"/>
      <c r="AG21" s="152"/>
      <c r="AH21" s="152"/>
      <c r="AI21" s="152"/>
      <c r="AJ21" s="153"/>
      <c r="AK21" s="165"/>
      <c r="AL21" s="166"/>
      <c r="AM21" s="166"/>
      <c r="AN21" s="166"/>
      <c r="AO21" s="166"/>
      <c r="AP21" s="166"/>
      <c r="AQ21" s="166"/>
      <c r="AR21" s="166"/>
      <c r="AS21" s="166"/>
      <c r="AT21" s="167"/>
    </row>
    <row r="22" spans="2:46" ht="18" customHeight="1">
      <c r="B22" s="476">
        <v>6</v>
      </c>
      <c r="C22" s="578"/>
      <c r="D22" s="579"/>
      <c r="E22" s="578"/>
      <c r="F22" s="584"/>
      <c r="G22" s="582"/>
      <c r="H22" s="582"/>
      <c r="I22" s="582"/>
      <c r="J22" s="573"/>
      <c r="K22" s="573"/>
      <c r="L22" s="442"/>
      <c r="M22" s="592"/>
      <c r="N22" s="577"/>
      <c r="O22" s="136">
        <v>2</v>
      </c>
      <c r="P22" s="588"/>
      <c r="Q22" s="148"/>
      <c r="R22" s="149"/>
      <c r="S22" s="149"/>
      <c r="T22" s="149"/>
      <c r="U22" s="149"/>
      <c r="V22" s="149"/>
      <c r="W22" s="149"/>
      <c r="X22" s="149"/>
      <c r="Y22" s="149"/>
      <c r="Z22" s="150"/>
      <c r="AA22" s="151"/>
      <c r="AB22" s="152"/>
      <c r="AC22" s="152"/>
      <c r="AD22" s="152"/>
      <c r="AE22" s="152"/>
      <c r="AF22" s="152"/>
      <c r="AG22" s="152"/>
      <c r="AH22" s="152"/>
      <c r="AI22" s="152"/>
      <c r="AJ22" s="153"/>
      <c r="AK22" s="165"/>
      <c r="AL22" s="166"/>
      <c r="AM22" s="166"/>
      <c r="AN22" s="166"/>
      <c r="AO22" s="166"/>
      <c r="AP22" s="166"/>
      <c r="AQ22" s="166"/>
      <c r="AR22" s="166"/>
      <c r="AS22" s="166"/>
      <c r="AT22" s="167"/>
    </row>
    <row r="23" spans="2:46" ht="18" customHeight="1">
      <c r="B23" s="527"/>
      <c r="C23" s="580"/>
      <c r="D23" s="581"/>
      <c r="E23" s="585"/>
      <c r="F23" s="586"/>
      <c r="G23" s="583"/>
      <c r="H23" s="583"/>
      <c r="I23" s="583"/>
      <c r="J23" s="515"/>
      <c r="K23" s="515"/>
      <c r="L23" s="442"/>
      <c r="M23" s="592"/>
      <c r="N23" s="577"/>
      <c r="O23" s="136">
        <v>1</v>
      </c>
      <c r="P23" s="588"/>
      <c r="Q23" s="148"/>
      <c r="R23" s="149"/>
      <c r="S23" s="149"/>
      <c r="T23" s="149"/>
      <c r="U23" s="149"/>
      <c r="V23" s="149"/>
      <c r="W23" s="149"/>
      <c r="X23" s="149"/>
      <c r="Y23" s="149"/>
      <c r="Z23" s="150"/>
      <c r="AA23" s="151"/>
      <c r="AB23" s="152"/>
      <c r="AC23" s="152"/>
      <c r="AD23" s="152"/>
      <c r="AE23" s="152"/>
      <c r="AF23" s="152"/>
      <c r="AG23" s="152"/>
      <c r="AH23" s="152"/>
      <c r="AI23" s="152"/>
      <c r="AJ23" s="153"/>
      <c r="AK23" s="165"/>
      <c r="AL23" s="166"/>
      <c r="AM23" s="166"/>
      <c r="AN23" s="166"/>
      <c r="AO23" s="166"/>
      <c r="AP23" s="166"/>
      <c r="AQ23" s="166"/>
      <c r="AR23" s="166"/>
      <c r="AS23" s="166"/>
      <c r="AT23" s="167"/>
    </row>
    <row r="24" spans="2:46" ht="18" customHeight="1">
      <c r="B24" s="476">
        <v>7</v>
      </c>
      <c r="C24" s="578"/>
      <c r="D24" s="579"/>
      <c r="E24" s="578"/>
      <c r="F24" s="584"/>
      <c r="G24" s="582"/>
      <c r="H24" s="582"/>
      <c r="I24" s="582"/>
      <c r="J24" s="573"/>
      <c r="K24" s="573"/>
      <c r="L24" s="442"/>
      <c r="M24" s="592"/>
      <c r="N24" s="577"/>
      <c r="O24" s="136">
        <v>0</v>
      </c>
      <c r="P24" s="589"/>
      <c r="Q24" s="155"/>
      <c r="R24" s="156"/>
      <c r="S24" s="156"/>
      <c r="T24" s="156"/>
      <c r="U24" s="156"/>
      <c r="V24" s="156"/>
      <c r="W24" s="156"/>
      <c r="X24" s="156"/>
      <c r="Y24" s="156"/>
      <c r="Z24" s="157"/>
      <c r="AA24" s="158"/>
      <c r="AB24" s="159"/>
      <c r="AC24" s="159"/>
      <c r="AD24" s="159"/>
      <c r="AE24" s="159"/>
      <c r="AF24" s="159"/>
      <c r="AG24" s="159"/>
      <c r="AH24" s="159"/>
      <c r="AI24" s="159"/>
      <c r="AJ24" s="160"/>
      <c r="AK24" s="168"/>
      <c r="AL24" s="169"/>
      <c r="AM24" s="169"/>
      <c r="AN24" s="169"/>
      <c r="AO24" s="169"/>
      <c r="AP24" s="169"/>
      <c r="AQ24" s="169"/>
      <c r="AR24" s="169"/>
      <c r="AS24" s="169"/>
      <c r="AT24" s="170"/>
    </row>
    <row r="25" spans="2:46" ht="18" customHeight="1">
      <c r="B25" s="527"/>
      <c r="C25" s="580"/>
      <c r="D25" s="581"/>
      <c r="E25" s="585"/>
      <c r="F25" s="586"/>
      <c r="G25" s="583"/>
      <c r="H25" s="583"/>
      <c r="I25" s="583"/>
      <c r="J25" s="515"/>
      <c r="K25" s="515"/>
      <c r="L25" s="442"/>
      <c r="M25" s="592"/>
      <c r="N25" s="577">
        <v>1</v>
      </c>
      <c r="O25" s="136">
        <v>9</v>
      </c>
      <c r="P25" s="587" t="s">
        <v>103</v>
      </c>
      <c r="Q25" s="145"/>
      <c r="R25" s="146"/>
      <c r="S25" s="146"/>
      <c r="T25" s="146"/>
      <c r="U25" s="146"/>
      <c r="V25" s="146"/>
      <c r="W25" s="146"/>
      <c r="X25" s="146"/>
      <c r="Y25" s="146"/>
      <c r="Z25" s="147"/>
      <c r="AA25" s="162"/>
      <c r="AB25" s="163"/>
      <c r="AC25" s="163"/>
      <c r="AD25" s="163"/>
      <c r="AE25" s="166"/>
      <c r="AF25" s="163"/>
      <c r="AG25" s="163"/>
      <c r="AH25" s="166"/>
      <c r="AI25" s="163"/>
      <c r="AJ25" s="166"/>
      <c r="AK25" s="162"/>
      <c r="AL25" s="163"/>
      <c r="AM25" s="163"/>
      <c r="AN25" s="163"/>
      <c r="AO25" s="163"/>
      <c r="AP25" s="163"/>
      <c r="AQ25" s="163"/>
      <c r="AR25" s="163"/>
      <c r="AS25" s="163"/>
      <c r="AT25" s="164"/>
    </row>
    <row r="26" spans="2:46" ht="18" customHeight="1">
      <c r="B26" s="476">
        <v>8</v>
      </c>
      <c r="C26" s="578"/>
      <c r="D26" s="579"/>
      <c r="E26" s="578"/>
      <c r="F26" s="584"/>
      <c r="G26" s="582"/>
      <c r="H26" s="582"/>
      <c r="I26" s="582"/>
      <c r="J26" s="573"/>
      <c r="K26" s="573"/>
      <c r="L26" s="442"/>
      <c r="M26" s="592"/>
      <c r="N26" s="577"/>
      <c r="O26" s="136">
        <v>8</v>
      </c>
      <c r="P26" s="588"/>
      <c r="Q26" s="151"/>
      <c r="R26" s="152"/>
      <c r="S26" s="152"/>
      <c r="T26" s="152"/>
      <c r="U26" s="152"/>
      <c r="V26" s="152"/>
      <c r="W26" s="152"/>
      <c r="X26" s="152"/>
      <c r="Y26" s="152"/>
      <c r="Z26" s="153"/>
      <c r="AA26" s="165"/>
      <c r="AB26" s="166"/>
      <c r="AC26" s="166"/>
      <c r="AD26" s="166"/>
      <c r="AE26" s="166"/>
      <c r="AF26" s="166"/>
      <c r="AG26" s="171"/>
      <c r="AH26" s="166"/>
      <c r="AI26" s="171"/>
      <c r="AJ26" s="167"/>
      <c r="AK26" s="165"/>
      <c r="AL26" s="166"/>
      <c r="AM26" s="166"/>
      <c r="AN26" s="166"/>
      <c r="AO26" s="166"/>
      <c r="AP26" s="166"/>
      <c r="AQ26" s="166"/>
      <c r="AR26" s="166"/>
      <c r="AS26" s="166"/>
      <c r="AT26" s="167"/>
    </row>
    <row r="27" spans="2:46" ht="18" customHeight="1">
      <c r="B27" s="527"/>
      <c r="C27" s="580"/>
      <c r="D27" s="581"/>
      <c r="E27" s="585"/>
      <c r="F27" s="586"/>
      <c r="G27" s="583"/>
      <c r="H27" s="583"/>
      <c r="I27" s="583"/>
      <c r="J27" s="515"/>
      <c r="K27" s="515"/>
      <c r="L27" s="442"/>
      <c r="M27" s="592"/>
      <c r="N27" s="577"/>
      <c r="O27" s="136">
        <v>7</v>
      </c>
      <c r="P27" s="588"/>
      <c r="Q27" s="151"/>
      <c r="R27" s="152"/>
      <c r="S27" s="152"/>
      <c r="T27" s="152"/>
      <c r="U27" s="152"/>
      <c r="V27" s="152"/>
      <c r="W27" s="152"/>
      <c r="X27" s="152"/>
      <c r="Y27" s="152"/>
      <c r="Z27" s="153"/>
      <c r="AA27" s="165"/>
      <c r="AB27" s="166"/>
      <c r="AC27" s="166"/>
      <c r="AD27" s="166"/>
      <c r="AE27" s="166"/>
      <c r="AF27" s="166"/>
      <c r="AG27" s="166"/>
      <c r="AH27" s="166"/>
      <c r="AI27" s="166"/>
      <c r="AJ27" s="167"/>
      <c r="AK27" s="165"/>
      <c r="AL27" s="166"/>
      <c r="AM27" s="166"/>
      <c r="AN27" s="166"/>
      <c r="AO27" s="166"/>
      <c r="AP27" s="166"/>
      <c r="AQ27" s="166"/>
      <c r="AR27" s="166"/>
      <c r="AS27" s="166"/>
      <c r="AT27" s="167"/>
    </row>
    <row r="28" spans="2:46" ht="18" customHeight="1">
      <c r="B28" s="476">
        <v>9</v>
      </c>
      <c r="C28" s="578"/>
      <c r="D28" s="579"/>
      <c r="E28" s="578"/>
      <c r="F28" s="584"/>
      <c r="G28" s="582"/>
      <c r="H28" s="582"/>
      <c r="I28" s="582"/>
      <c r="J28" s="573"/>
      <c r="K28" s="573"/>
      <c r="L28" s="442"/>
      <c r="M28" s="592"/>
      <c r="N28" s="577"/>
      <c r="O28" s="136">
        <v>6</v>
      </c>
      <c r="P28" s="588"/>
      <c r="Q28" s="151"/>
      <c r="R28" s="152"/>
      <c r="S28" s="152"/>
      <c r="T28" s="152"/>
      <c r="U28" s="152"/>
      <c r="V28" s="152"/>
      <c r="W28" s="152"/>
      <c r="X28" s="152"/>
      <c r="Y28" s="152"/>
      <c r="Z28" s="153"/>
      <c r="AA28" s="165"/>
      <c r="AB28" s="166"/>
      <c r="AC28" s="166"/>
      <c r="AD28" s="166"/>
      <c r="AE28" s="171"/>
      <c r="AF28" s="166"/>
      <c r="AG28" s="166"/>
      <c r="AH28" s="166"/>
      <c r="AI28" s="166"/>
      <c r="AJ28" s="167"/>
      <c r="AK28" s="165"/>
      <c r="AL28" s="166"/>
      <c r="AM28" s="166"/>
      <c r="AN28" s="166"/>
      <c r="AO28" s="166"/>
      <c r="AP28" s="166"/>
      <c r="AQ28" s="166"/>
      <c r="AR28" s="166"/>
      <c r="AS28" s="166"/>
      <c r="AT28" s="167"/>
    </row>
    <row r="29" spans="2:46" ht="18" customHeight="1">
      <c r="B29" s="527"/>
      <c r="C29" s="580"/>
      <c r="D29" s="581"/>
      <c r="E29" s="585"/>
      <c r="F29" s="586"/>
      <c r="G29" s="583"/>
      <c r="H29" s="583"/>
      <c r="I29" s="583"/>
      <c r="J29" s="515"/>
      <c r="K29" s="515"/>
      <c r="L29" s="442"/>
      <c r="M29" s="592"/>
      <c r="N29" s="577"/>
      <c r="O29" s="136">
        <v>5</v>
      </c>
      <c r="P29" s="588"/>
      <c r="Q29" s="151"/>
      <c r="R29" s="152"/>
      <c r="S29" s="152"/>
      <c r="T29" s="152"/>
      <c r="U29" s="152"/>
      <c r="V29" s="152"/>
      <c r="W29" s="152"/>
      <c r="X29" s="152"/>
      <c r="Y29" s="152"/>
      <c r="Z29" s="153"/>
      <c r="AA29" s="165"/>
      <c r="AB29" s="166"/>
      <c r="AC29" s="166"/>
      <c r="AD29" s="166"/>
      <c r="AE29" s="166"/>
      <c r="AF29" s="166"/>
      <c r="AG29" s="166"/>
      <c r="AH29" s="166"/>
      <c r="AI29" s="166"/>
      <c r="AJ29" s="167"/>
      <c r="AK29" s="165"/>
      <c r="AL29" s="166"/>
      <c r="AM29" s="166"/>
      <c r="AN29" s="166"/>
      <c r="AO29" s="166"/>
      <c r="AP29" s="166"/>
      <c r="AQ29" s="166"/>
      <c r="AR29" s="166"/>
      <c r="AS29" s="166"/>
      <c r="AT29" s="167"/>
    </row>
    <row r="30" spans="2:46" ht="18" customHeight="1">
      <c r="B30" s="476">
        <v>10</v>
      </c>
      <c r="C30" s="578"/>
      <c r="D30" s="579"/>
      <c r="E30" s="578"/>
      <c r="F30" s="579"/>
      <c r="G30" s="582"/>
      <c r="H30" s="582"/>
      <c r="I30" s="582"/>
      <c r="J30" s="573"/>
      <c r="K30" s="573"/>
      <c r="L30" s="442"/>
      <c r="M30" s="592"/>
      <c r="N30" s="577"/>
      <c r="O30" s="136">
        <v>4</v>
      </c>
      <c r="P30" s="588"/>
      <c r="Q30" s="151"/>
      <c r="R30" s="152"/>
      <c r="S30" s="152"/>
      <c r="T30" s="152"/>
      <c r="U30" s="152"/>
      <c r="V30" s="152"/>
      <c r="W30" s="152"/>
      <c r="X30" s="152"/>
      <c r="Y30" s="152"/>
      <c r="Z30" s="153"/>
      <c r="AA30" s="165"/>
      <c r="AB30" s="166"/>
      <c r="AC30" s="166"/>
      <c r="AD30" s="166"/>
      <c r="AE30" s="166"/>
      <c r="AF30" s="166"/>
      <c r="AG30" s="166"/>
      <c r="AH30" s="166"/>
      <c r="AI30" s="166"/>
      <c r="AJ30" s="167"/>
      <c r="AK30" s="165"/>
      <c r="AL30" s="166"/>
      <c r="AM30" s="166"/>
      <c r="AN30" s="166"/>
      <c r="AO30" s="166"/>
      <c r="AP30" s="166"/>
      <c r="AQ30" s="166"/>
      <c r="AR30" s="166"/>
      <c r="AS30" s="166"/>
      <c r="AT30" s="167"/>
    </row>
    <row r="31" spans="2:46" ht="18" customHeight="1">
      <c r="B31" s="527"/>
      <c r="C31" s="580"/>
      <c r="D31" s="581"/>
      <c r="E31" s="580"/>
      <c r="F31" s="581"/>
      <c r="G31" s="583"/>
      <c r="H31" s="583"/>
      <c r="I31" s="583"/>
      <c r="J31" s="515"/>
      <c r="K31" s="515"/>
      <c r="L31" s="442"/>
      <c r="M31" s="592"/>
      <c r="N31" s="577"/>
      <c r="O31" s="136">
        <v>3</v>
      </c>
      <c r="P31" s="588"/>
      <c r="Q31" s="151"/>
      <c r="R31" s="152"/>
      <c r="S31" s="152"/>
      <c r="T31" s="152"/>
      <c r="U31" s="152"/>
      <c r="V31" s="152"/>
      <c r="W31" s="152"/>
      <c r="X31" s="152"/>
      <c r="Y31" s="152"/>
      <c r="Z31" s="153"/>
      <c r="AA31" s="165"/>
      <c r="AB31" s="166"/>
      <c r="AC31" s="166"/>
      <c r="AD31" s="166"/>
      <c r="AE31" s="166"/>
      <c r="AF31" s="166"/>
      <c r="AG31" s="166"/>
      <c r="AH31" s="166"/>
      <c r="AI31" s="166"/>
      <c r="AJ31" s="167"/>
      <c r="AK31" s="165"/>
      <c r="AL31" s="166"/>
      <c r="AM31" s="166"/>
      <c r="AN31" s="166"/>
      <c r="AO31" s="166"/>
      <c r="AP31" s="166"/>
      <c r="AQ31" s="166"/>
      <c r="AR31" s="166"/>
      <c r="AS31" s="166"/>
      <c r="AT31" s="167"/>
    </row>
    <row r="32" spans="2:46" ht="18" customHeight="1">
      <c r="L32" s="442"/>
      <c r="M32" s="592"/>
      <c r="N32" s="577"/>
      <c r="O32" s="136">
        <v>2</v>
      </c>
      <c r="P32" s="588"/>
      <c r="Q32" s="151"/>
      <c r="R32" s="152"/>
      <c r="S32" s="152"/>
      <c r="T32" s="152"/>
      <c r="U32" s="152"/>
      <c r="V32" s="152"/>
      <c r="W32" s="152"/>
      <c r="X32" s="152"/>
      <c r="Y32" s="152"/>
      <c r="Z32" s="153"/>
      <c r="AA32" s="165"/>
      <c r="AB32" s="166"/>
      <c r="AC32" s="166"/>
      <c r="AD32" s="166"/>
      <c r="AE32" s="166"/>
      <c r="AF32" s="166"/>
      <c r="AG32" s="166"/>
      <c r="AH32" s="166"/>
      <c r="AI32" s="166"/>
      <c r="AJ32" s="167"/>
      <c r="AK32" s="165"/>
      <c r="AL32" s="166"/>
      <c r="AM32" s="166"/>
      <c r="AN32" s="166"/>
      <c r="AO32" s="166"/>
      <c r="AP32" s="166"/>
      <c r="AQ32" s="166"/>
      <c r="AR32" s="166"/>
      <c r="AS32" s="166"/>
      <c r="AT32" s="167"/>
    </row>
    <row r="33" spans="3:46" ht="18" customHeight="1">
      <c r="C33" s="1" t="s">
        <v>202</v>
      </c>
      <c r="D33" s="138" t="s">
        <v>203</v>
      </c>
      <c r="E33" s="1" t="s">
        <v>204</v>
      </c>
      <c r="L33" s="442"/>
      <c r="M33" s="592"/>
      <c r="N33" s="577"/>
      <c r="O33" s="136">
        <v>1</v>
      </c>
      <c r="P33" s="588"/>
      <c r="Q33" s="151"/>
      <c r="R33" s="152"/>
      <c r="S33" s="152"/>
      <c r="T33" s="152"/>
      <c r="U33" s="152"/>
      <c r="V33" s="152"/>
      <c r="W33" s="152"/>
      <c r="X33" s="152"/>
      <c r="Y33" s="152"/>
      <c r="Z33" s="153"/>
      <c r="AA33" s="165"/>
      <c r="AB33" s="166"/>
      <c r="AC33" s="166"/>
      <c r="AD33" s="166"/>
      <c r="AE33" s="166"/>
      <c r="AF33" s="166"/>
      <c r="AG33" s="166"/>
      <c r="AH33" s="166"/>
      <c r="AI33" s="166"/>
      <c r="AJ33" s="167"/>
      <c r="AK33" s="165"/>
      <c r="AL33" s="166"/>
      <c r="AM33" s="166"/>
      <c r="AN33" s="166"/>
      <c r="AO33" s="166"/>
      <c r="AP33" s="166"/>
      <c r="AQ33" s="166"/>
      <c r="AR33" s="166"/>
      <c r="AS33" s="166"/>
      <c r="AT33" s="167"/>
    </row>
    <row r="34" spans="3:46" ht="18" customHeight="1">
      <c r="D34" s="139" t="s">
        <v>205</v>
      </c>
      <c r="E34" s="1" t="s">
        <v>206</v>
      </c>
      <c r="L34" s="442"/>
      <c r="M34" s="592"/>
      <c r="N34" s="577"/>
      <c r="O34" s="136">
        <v>0</v>
      </c>
      <c r="P34" s="589"/>
      <c r="Q34" s="158"/>
      <c r="R34" s="159"/>
      <c r="S34" s="159"/>
      <c r="T34" s="159"/>
      <c r="U34" s="159"/>
      <c r="V34" s="159"/>
      <c r="W34" s="159"/>
      <c r="X34" s="159"/>
      <c r="Y34" s="159"/>
      <c r="Z34" s="160"/>
      <c r="AA34" s="168"/>
      <c r="AB34" s="169"/>
      <c r="AC34" s="169"/>
      <c r="AD34" s="169"/>
      <c r="AE34" s="169"/>
      <c r="AF34" s="169"/>
      <c r="AG34" s="169"/>
      <c r="AH34" s="169"/>
      <c r="AI34" s="169"/>
      <c r="AJ34" s="170"/>
      <c r="AK34" s="168"/>
      <c r="AL34" s="169"/>
      <c r="AM34" s="169"/>
      <c r="AN34" s="169"/>
      <c r="AO34" s="169"/>
      <c r="AP34" s="169"/>
      <c r="AQ34" s="169"/>
      <c r="AR34" s="169"/>
      <c r="AS34" s="169"/>
      <c r="AT34" s="170"/>
    </row>
    <row r="35" spans="3:46" ht="18" customHeight="1">
      <c r="D35" s="140" t="s">
        <v>207</v>
      </c>
      <c r="E35" s="1" t="s">
        <v>208</v>
      </c>
      <c r="L35" s="442"/>
      <c r="M35" s="442"/>
      <c r="Q35" s="574" t="s">
        <v>103</v>
      </c>
      <c r="R35" s="575"/>
      <c r="S35" s="575"/>
      <c r="T35" s="575"/>
      <c r="U35" s="575"/>
      <c r="V35" s="575"/>
      <c r="W35" s="575"/>
      <c r="X35" s="575"/>
      <c r="Y35" s="575"/>
      <c r="Z35" s="576"/>
      <c r="AA35" s="574" t="s">
        <v>104</v>
      </c>
      <c r="AB35" s="575"/>
      <c r="AC35" s="575"/>
      <c r="AD35" s="575"/>
      <c r="AE35" s="575"/>
      <c r="AF35" s="575"/>
      <c r="AG35" s="575"/>
      <c r="AH35" s="575"/>
      <c r="AI35" s="575"/>
      <c r="AJ35" s="576"/>
      <c r="AK35" s="574" t="s">
        <v>105</v>
      </c>
      <c r="AL35" s="575"/>
      <c r="AM35" s="575"/>
      <c r="AN35" s="575"/>
      <c r="AO35" s="575"/>
      <c r="AP35" s="575"/>
      <c r="AQ35" s="575"/>
      <c r="AR35" s="575"/>
      <c r="AS35" s="575"/>
      <c r="AT35" s="576"/>
    </row>
    <row r="36" spans="3:46" ht="15.95" customHeight="1">
      <c r="L36" s="442"/>
      <c r="M36" s="442"/>
      <c r="Q36" s="136">
        <v>0</v>
      </c>
      <c r="R36" s="136">
        <v>1</v>
      </c>
      <c r="S36" s="136">
        <v>2</v>
      </c>
      <c r="T36" s="136">
        <v>3</v>
      </c>
      <c r="U36" s="136">
        <v>4</v>
      </c>
      <c r="V36" s="136">
        <v>5</v>
      </c>
      <c r="W36" s="136">
        <v>6</v>
      </c>
      <c r="X36" s="136">
        <v>7</v>
      </c>
      <c r="Y36" s="136">
        <v>8</v>
      </c>
      <c r="Z36" s="136">
        <v>9</v>
      </c>
      <c r="AA36" s="136">
        <v>0</v>
      </c>
      <c r="AB36" s="136">
        <v>1</v>
      </c>
      <c r="AC36" s="136">
        <v>2</v>
      </c>
      <c r="AD36" s="136">
        <v>3</v>
      </c>
      <c r="AE36" s="136">
        <v>4</v>
      </c>
      <c r="AF36" s="136">
        <v>5</v>
      </c>
      <c r="AG36" s="136">
        <v>6</v>
      </c>
      <c r="AH36" s="136">
        <v>7</v>
      </c>
      <c r="AI36" s="136">
        <v>8</v>
      </c>
      <c r="AJ36" s="136">
        <v>9</v>
      </c>
      <c r="AK36" s="136">
        <v>0</v>
      </c>
      <c r="AL36" s="136">
        <v>1</v>
      </c>
      <c r="AM36" s="136">
        <v>2</v>
      </c>
      <c r="AN36" s="136">
        <v>3</v>
      </c>
      <c r="AO36" s="136">
        <v>4</v>
      </c>
      <c r="AP36" s="136">
        <v>5</v>
      </c>
      <c r="AQ36" s="136">
        <v>6</v>
      </c>
      <c r="AR36" s="136">
        <v>7</v>
      </c>
      <c r="AS36" s="136">
        <v>8</v>
      </c>
      <c r="AT36" s="136">
        <v>9</v>
      </c>
    </row>
    <row r="37" spans="3:46" ht="15.95" customHeight="1">
      <c r="L37" s="442"/>
      <c r="M37" s="442"/>
      <c r="Q37" s="577">
        <v>1</v>
      </c>
      <c r="R37" s="577"/>
      <c r="S37" s="577"/>
      <c r="T37" s="577"/>
      <c r="U37" s="577"/>
      <c r="V37" s="577"/>
      <c r="W37" s="577"/>
      <c r="X37" s="577"/>
      <c r="Y37" s="577"/>
      <c r="Z37" s="577"/>
      <c r="AA37" s="577">
        <v>2</v>
      </c>
      <c r="AB37" s="577"/>
      <c r="AC37" s="577"/>
      <c r="AD37" s="577"/>
      <c r="AE37" s="577"/>
      <c r="AF37" s="577"/>
      <c r="AG37" s="577"/>
      <c r="AH37" s="577"/>
      <c r="AI37" s="577"/>
      <c r="AJ37" s="577"/>
      <c r="AK37" s="577">
        <v>3</v>
      </c>
      <c r="AL37" s="577"/>
      <c r="AM37" s="577"/>
      <c r="AN37" s="577"/>
      <c r="AO37" s="577"/>
      <c r="AP37" s="577"/>
      <c r="AQ37" s="577"/>
      <c r="AR37" s="577"/>
      <c r="AS37" s="577"/>
      <c r="AT37" s="577"/>
    </row>
    <row r="38" spans="3:46" ht="15.95" customHeight="1">
      <c r="L38" s="442"/>
      <c r="M38" s="442"/>
      <c r="P38" s="572" t="s">
        <v>209</v>
      </c>
      <c r="Q38" s="572"/>
      <c r="R38" s="572"/>
      <c r="S38" s="572"/>
      <c r="T38" s="572"/>
      <c r="U38" s="572"/>
      <c r="V38" s="572"/>
      <c r="W38" s="572"/>
      <c r="X38" s="572"/>
      <c r="Y38" s="572"/>
      <c r="Z38" s="572"/>
      <c r="AA38" s="572"/>
      <c r="AB38" s="572"/>
      <c r="AC38" s="572"/>
      <c r="AD38" s="572"/>
      <c r="AE38" s="572"/>
      <c r="AF38" s="572"/>
      <c r="AG38" s="572"/>
      <c r="AH38" s="572"/>
      <c r="AI38" s="572"/>
      <c r="AJ38" s="572"/>
      <c r="AK38" s="572"/>
      <c r="AL38" s="572"/>
      <c r="AM38" s="572"/>
      <c r="AN38" s="572"/>
      <c r="AO38" s="572"/>
      <c r="AP38" s="572"/>
      <c r="AQ38" s="572"/>
      <c r="AR38" s="572"/>
      <c r="AS38" s="572"/>
      <c r="AT38" s="572"/>
    </row>
  </sheetData>
  <mergeCells count="106">
    <mergeCell ref="P2:AT2"/>
    <mergeCell ref="B5:K5"/>
    <mergeCell ref="M5:M34"/>
    <mergeCell ref="N5:N14"/>
    <mergeCell ref="P5:P14"/>
    <mergeCell ref="D7:E7"/>
    <mergeCell ref="H7:I7"/>
    <mergeCell ref="B9:B11"/>
    <mergeCell ref="C9:D11"/>
    <mergeCell ref="E9:F11"/>
    <mergeCell ref="G9:G10"/>
    <mergeCell ref="H9:H10"/>
    <mergeCell ref="I9:I10"/>
    <mergeCell ref="J9:J10"/>
    <mergeCell ref="K9:K10"/>
    <mergeCell ref="B12:B13"/>
    <mergeCell ref="C12:D13"/>
    <mergeCell ref="E12:F13"/>
    <mergeCell ref="G12:G13"/>
    <mergeCell ref="H12:H13"/>
    <mergeCell ref="I12:I13"/>
    <mergeCell ref="J12:J13"/>
    <mergeCell ref="K12:K13"/>
    <mergeCell ref="B14:B15"/>
    <mergeCell ref="C14:D15"/>
    <mergeCell ref="E14:F15"/>
    <mergeCell ref="G14:G15"/>
    <mergeCell ref="H14:H15"/>
    <mergeCell ref="I14:I15"/>
    <mergeCell ref="J14:J15"/>
    <mergeCell ref="K14:K15"/>
    <mergeCell ref="N15:N24"/>
    <mergeCell ref="P15:P24"/>
    <mergeCell ref="J20:J21"/>
    <mergeCell ref="K20:K21"/>
    <mergeCell ref="J24:J25"/>
    <mergeCell ref="K24:K25"/>
    <mergeCell ref="N25:N34"/>
    <mergeCell ref="P25:P34"/>
    <mergeCell ref="J22:J23"/>
    <mergeCell ref="K22:K23"/>
    <mergeCell ref="J16:J17"/>
    <mergeCell ref="K16:K17"/>
    <mergeCell ref="J18:J19"/>
    <mergeCell ref="K18:K19"/>
    <mergeCell ref="B20:B21"/>
    <mergeCell ref="C20:D21"/>
    <mergeCell ref="E20:F21"/>
    <mergeCell ref="G20:G21"/>
    <mergeCell ref="H20:H21"/>
    <mergeCell ref="I20:I21"/>
    <mergeCell ref="B16:B17"/>
    <mergeCell ref="C16:D17"/>
    <mergeCell ref="E16:F17"/>
    <mergeCell ref="G16:G17"/>
    <mergeCell ref="H16:H17"/>
    <mergeCell ref="I16:I17"/>
    <mergeCell ref="B18:B19"/>
    <mergeCell ref="C18:D19"/>
    <mergeCell ref="E18:F19"/>
    <mergeCell ref="G18:G19"/>
    <mergeCell ref="H18:H19"/>
    <mergeCell ref="I18:I19"/>
    <mergeCell ref="B24:B25"/>
    <mergeCell ref="C24:D25"/>
    <mergeCell ref="E24:F25"/>
    <mergeCell ref="G24:G25"/>
    <mergeCell ref="H24:H25"/>
    <mergeCell ref="I24:I25"/>
    <mergeCell ref="B22:B23"/>
    <mergeCell ref="C22:D23"/>
    <mergeCell ref="E22:F23"/>
    <mergeCell ref="G22:G23"/>
    <mergeCell ref="H22:H23"/>
    <mergeCell ref="I22:I23"/>
    <mergeCell ref="B30:B31"/>
    <mergeCell ref="C30:D31"/>
    <mergeCell ref="E30:F31"/>
    <mergeCell ref="G30:G31"/>
    <mergeCell ref="H30:H31"/>
    <mergeCell ref="I30:I31"/>
    <mergeCell ref="J26:J27"/>
    <mergeCell ref="K26:K27"/>
    <mergeCell ref="B28:B29"/>
    <mergeCell ref="C28:D29"/>
    <mergeCell ref="E28:F29"/>
    <mergeCell ref="G28:G29"/>
    <mergeCell ref="H28:H29"/>
    <mergeCell ref="I28:I29"/>
    <mergeCell ref="J28:J29"/>
    <mergeCell ref="K28:K29"/>
    <mergeCell ref="B26:B27"/>
    <mergeCell ref="C26:D27"/>
    <mergeCell ref="E26:F27"/>
    <mergeCell ref="G26:G27"/>
    <mergeCell ref="H26:H27"/>
    <mergeCell ref="I26:I27"/>
    <mergeCell ref="P38:AT38"/>
    <mergeCell ref="J30:J31"/>
    <mergeCell ref="K30:K31"/>
    <mergeCell ref="Q35:Z35"/>
    <mergeCell ref="AA35:AJ35"/>
    <mergeCell ref="AK35:AT35"/>
    <mergeCell ref="Q37:Z37"/>
    <mergeCell ref="AA37:AJ37"/>
    <mergeCell ref="AK37:AT37"/>
  </mergeCells>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926A-A99F-4E97-BB51-FABEF30ACC94}">
  <dimension ref="A1:M42"/>
  <sheetViews>
    <sheetView showGridLines="0" showRowColHeaders="0" zoomScale="80" zoomScaleNormal="80" workbookViewId="0"/>
  </sheetViews>
  <sheetFormatPr defaultColWidth="10.85546875" defaultRowHeight="15"/>
  <cols>
    <col min="1" max="1" width="1" style="1" customWidth="1"/>
    <col min="2" max="2" width="4.5703125" style="1" customWidth="1"/>
    <col min="3" max="3" width="20" style="1" customWidth="1"/>
    <col min="4" max="4" width="52.140625" style="1" customWidth="1"/>
    <col min="5" max="13" width="12.5703125" style="1" customWidth="1"/>
    <col min="14" max="16384" width="10.85546875" style="254"/>
  </cols>
  <sheetData>
    <row r="1" spans="1:13" ht="6.6" customHeight="1"/>
    <row r="2" spans="1:13" ht="18">
      <c r="B2" s="421" t="s">
        <v>210</v>
      </c>
      <c r="F2" s="3"/>
      <c r="G2" s="3"/>
      <c r="H2" s="3"/>
      <c r="I2" s="3"/>
      <c r="J2" s="3"/>
      <c r="K2" s="3"/>
      <c r="L2" s="3"/>
      <c r="M2" s="3"/>
    </row>
    <row r="3" spans="1:13" ht="18.95" customHeight="1">
      <c r="A3" s="422"/>
      <c r="B3" s="422" t="s">
        <v>211</v>
      </c>
      <c r="C3" s="422"/>
      <c r="D3" s="422"/>
      <c r="E3" s="422"/>
      <c r="F3" s="422"/>
      <c r="G3" s="422"/>
      <c r="H3" s="422"/>
      <c r="I3" s="422"/>
      <c r="J3" s="422"/>
      <c r="K3" s="422"/>
      <c r="L3" s="422"/>
      <c r="M3" s="422"/>
    </row>
    <row r="4" spans="1:13" ht="6.6" customHeight="1">
      <c r="A4" s="422"/>
      <c r="B4" s="422"/>
      <c r="C4" s="422"/>
      <c r="D4" s="422"/>
      <c r="E4" s="422"/>
      <c r="F4" s="422"/>
      <c r="G4" s="422"/>
      <c r="H4" s="422"/>
      <c r="I4" s="422"/>
      <c r="J4" s="422"/>
      <c r="K4" s="422"/>
      <c r="L4" s="422"/>
      <c r="M4" s="422"/>
    </row>
    <row r="5" spans="1:13" ht="20.45" customHeight="1">
      <c r="A5" s="422"/>
      <c r="B5" s="516" t="s">
        <v>212</v>
      </c>
      <c r="C5" s="517"/>
      <c r="D5" s="517"/>
      <c r="E5" s="517"/>
      <c r="F5" s="517"/>
      <c r="G5" s="517"/>
      <c r="H5" s="517"/>
      <c r="I5" s="517"/>
      <c r="J5" s="517"/>
      <c r="K5" s="517"/>
      <c r="L5" s="517"/>
      <c r="M5" s="517"/>
    </row>
    <row r="6" spans="1:13" ht="8.1" customHeight="1">
      <c r="B6" s="12"/>
      <c r="C6" s="13"/>
      <c r="D6" s="13"/>
      <c r="E6" s="13"/>
      <c r="F6" s="13"/>
      <c r="G6" s="13"/>
      <c r="H6" s="13"/>
      <c r="I6" s="13"/>
      <c r="J6" s="13"/>
      <c r="K6" s="13"/>
      <c r="L6" s="13"/>
      <c r="M6" s="13"/>
    </row>
    <row r="7" spans="1:13" ht="18.95" customHeight="1">
      <c r="B7" s="16"/>
      <c r="C7" s="23" t="s">
        <v>45</v>
      </c>
      <c r="D7" s="417"/>
      <c r="E7" s="47" t="s">
        <v>57</v>
      </c>
      <c r="F7" s="420"/>
      <c r="G7" s="47" t="s">
        <v>213</v>
      </c>
      <c r="H7" s="420"/>
      <c r="I7" s="47" t="s">
        <v>214</v>
      </c>
      <c r="J7" s="420"/>
      <c r="K7" s="47" t="s">
        <v>215</v>
      </c>
      <c r="L7" s="420"/>
      <c r="M7" s="122"/>
    </row>
    <row r="8" spans="1:13" ht="6" customHeight="1">
      <c r="B8" s="19"/>
      <c r="C8" s="20"/>
      <c r="D8" s="20"/>
      <c r="E8" s="20"/>
      <c r="F8" s="20"/>
      <c r="G8" s="20"/>
      <c r="H8" s="20"/>
      <c r="I8" s="20"/>
      <c r="J8" s="20"/>
      <c r="K8" s="20"/>
      <c r="L8" s="20"/>
      <c r="M8" s="20"/>
    </row>
    <row r="9" spans="1:13" ht="20.100000000000001" customHeight="1">
      <c r="B9" s="255" t="s">
        <v>216</v>
      </c>
      <c r="C9" s="10" t="s">
        <v>217</v>
      </c>
      <c r="D9" s="10" t="s">
        <v>218</v>
      </c>
      <c r="E9" s="609" t="s">
        <v>219</v>
      </c>
      <c r="F9" s="610"/>
      <c r="G9" s="610"/>
      <c r="H9" s="610"/>
      <c r="I9" s="610"/>
      <c r="J9" s="610"/>
      <c r="K9" s="610"/>
      <c r="L9" s="610"/>
      <c r="M9" s="611"/>
    </row>
    <row r="10" spans="1:13" ht="30" customHeight="1">
      <c r="B10" s="608" t="s">
        <v>220</v>
      </c>
      <c r="C10" s="529"/>
      <c r="D10" s="259" t="s">
        <v>221</v>
      </c>
      <c r="E10" s="605"/>
      <c r="F10" s="606"/>
      <c r="G10" s="606"/>
      <c r="H10" s="606"/>
      <c r="I10" s="606"/>
      <c r="J10" s="606"/>
      <c r="K10" s="606"/>
      <c r="L10" s="606"/>
      <c r="M10" s="529"/>
    </row>
    <row r="11" spans="1:13" ht="30" customHeight="1">
      <c r="B11" s="256" t="s">
        <v>222</v>
      </c>
      <c r="C11" s="257" t="s">
        <v>223</v>
      </c>
      <c r="D11" s="607" t="s">
        <v>224</v>
      </c>
      <c r="E11" s="606"/>
      <c r="F11" s="606"/>
      <c r="G11" s="606"/>
      <c r="H11" s="606"/>
      <c r="I11" s="606"/>
      <c r="J11" s="606"/>
      <c r="K11" s="606"/>
      <c r="L11" s="606"/>
      <c r="M11" s="529"/>
    </row>
    <row r="12" spans="1:13" ht="30" customHeight="1">
      <c r="B12" s="264" t="s">
        <v>108</v>
      </c>
      <c r="C12" s="262" t="s">
        <v>225</v>
      </c>
      <c r="D12" s="260" t="s">
        <v>226</v>
      </c>
      <c r="E12" s="605"/>
      <c r="F12" s="606"/>
      <c r="G12" s="606"/>
      <c r="H12" s="606"/>
      <c r="I12" s="606"/>
      <c r="J12" s="606"/>
      <c r="K12" s="606"/>
      <c r="L12" s="606"/>
      <c r="M12" s="529"/>
    </row>
    <row r="13" spans="1:13" ht="30" customHeight="1">
      <c r="B13" s="261" t="s">
        <v>112</v>
      </c>
      <c r="C13" s="262" t="s">
        <v>227</v>
      </c>
      <c r="D13" s="260" t="s">
        <v>228</v>
      </c>
      <c r="E13" s="605"/>
      <c r="F13" s="606"/>
      <c r="G13" s="606"/>
      <c r="H13" s="606"/>
      <c r="I13" s="606"/>
      <c r="J13" s="606"/>
      <c r="K13" s="606"/>
      <c r="L13" s="606"/>
      <c r="M13" s="529"/>
    </row>
    <row r="14" spans="1:13" ht="30" customHeight="1">
      <c r="B14" s="261" t="s">
        <v>116</v>
      </c>
      <c r="C14" s="262" t="s">
        <v>229</v>
      </c>
      <c r="D14" s="260" t="s">
        <v>230</v>
      </c>
      <c r="E14" s="605"/>
      <c r="F14" s="606"/>
      <c r="G14" s="606"/>
      <c r="H14" s="606"/>
      <c r="I14" s="606"/>
      <c r="J14" s="606"/>
      <c r="K14" s="606"/>
      <c r="L14" s="606"/>
      <c r="M14" s="529"/>
    </row>
    <row r="15" spans="1:13" ht="30" customHeight="1">
      <c r="B15" s="258">
        <v>2</v>
      </c>
      <c r="C15" s="257" t="s">
        <v>231</v>
      </c>
      <c r="D15" s="607" t="s">
        <v>232</v>
      </c>
      <c r="E15" s="606"/>
      <c r="F15" s="606"/>
      <c r="G15" s="606"/>
      <c r="H15" s="606"/>
      <c r="I15" s="606"/>
      <c r="J15" s="606"/>
      <c r="K15" s="606"/>
      <c r="L15" s="606"/>
      <c r="M15" s="529"/>
    </row>
    <row r="16" spans="1:13" ht="30" customHeight="1">
      <c r="B16" s="261" t="s">
        <v>121</v>
      </c>
      <c r="C16" s="262" t="s">
        <v>233</v>
      </c>
      <c r="D16" s="260" t="s">
        <v>234</v>
      </c>
      <c r="E16" s="605"/>
      <c r="F16" s="606"/>
      <c r="G16" s="606"/>
      <c r="H16" s="606"/>
      <c r="I16" s="606"/>
      <c r="J16" s="606"/>
      <c r="K16" s="606"/>
      <c r="L16" s="606"/>
      <c r="M16" s="529"/>
    </row>
    <row r="17" spans="2:13" ht="30" customHeight="1">
      <c r="B17" s="261" t="s">
        <v>125</v>
      </c>
      <c r="C17" s="263" t="s">
        <v>235</v>
      </c>
      <c r="D17" s="260" t="s">
        <v>236</v>
      </c>
      <c r="E17" s="605"/>
      <c r="F17" s="606"/>
      <c r="G17" s="606"/>
      <c r="H17" s="606"/>
      <c r="I17" s="606"/>
      <c r="J17" s="606"/>
      <c r="K17" s="606"/>
      <c r="L17" s="606"/>
      <c r="M17" s="529"/>
    </row>
    <row r="18" spans="2:13" ht="30" customHeight="1">
      <c r="B18" s="261" t="s">
        <v>129</v>
      </c>
      <c r="C18" s="263" t="s">
        <v>237</v>
      </c>
      <c r="D18" s="260" t="s">
        <v>238</v>
      </c>
      <c r="E18" s="605"/>
      <c r="F18" s="606"/>
      <c r="G18" s="606"/>
      <c r="H18" s="606"/>
      <c r="I18" s="606"/>
      <c r="J18" s="606"/>
      <c r="K18" s="606"/>
      <c r="L18" s="606"/>
      <c r="M18" s="529"/>
    </row>
    <row r="19" spans="2:13" ht="30" customHeight="1">
      <c r="B19" s="261" t="s">
        <v>239</v>
      </c>
      <c r="C19" s="262" t="s">
        <v>240</v>
      </c>
      <c r="D19" s="260" t="s">
        <v>241</v>
      </c>
      <c r="E19" s="605"/>
      <c r="F19" s="606"/>
      <c r="G19" s="606"/>
      <c r="H19" s="606"/>
      <c r="I19" s="606"/>
      <c r="J19" s="606"/>
      <c r="K19" s="606"/>
      <c r="L19" s="606"/>
      <c r="M19" s="529"/>
    </row>
    <row r="20" spans="2:13" ht="30" customHeight="1">
      <c r="B20" s="261" t="s">
        <v>242</v>
      </c>
      <c r="C20" s="262" t="s">
        <v>243</v>
      </c>
      <c r="D20" s="260" t="s">
        <v>244</v>
      </c>
      <c r="E20" s="605"/>
      <c r="F20" s="606"/>
      <c r="G20" s="606"/>
      <c r="H20" s="606"/>
      <c r="I20" s="606"/>
      <c r="J20" s="606"/>
      <c r="K20" s="606"/>
      <c r="L20" s="606"/>
      <c r="M20" s="529"/>
    </row>
    <row r="21" spans="2:13" ht="30" customHeight="1">
      <c r="B21" s="261" t="s">
        <v>245</v>
      </c>
      <c r="C21" s="262" t="s">
        <v>246</v>
      </c>
      <c r="D21" s="260" t="s">
        <v>247</v>
      </c>
      <c r="E21" s="605"/>
      <c r="F21" s="606"/>
      <c r="G21" s="606"/>
      <c r="H21" s="606"/>
      <c r="I21" s="606"/>
      <c r="J21" s="606"/>
      <c r="K21" s="606"/>
      <c r="L21" s="606"/>
      <c r="M21" s="529"/>
    </row>
    <row r="22" spans="2:13" ht="30" customHeight="1">
      <c r="B22" s="261" t="s">
        <v>248</v>
      </c>
      <c r="C22" s="262" t="s">
        <v>249</v>
      </c>
      <c r="D22" s="260" t="s">
        <v>250</v>
      </c>
      <c r="E22" s="605"/>
      <c r="F22" s="606"/>
      <c r="G22" s="606"/>
      <c r="H22" s="606"/>
      <c r="I22" s="606"/>
      <c r="J22" s="606"/>
      <c r="K22" s="606"/>
      <c r="L22" s="606"/>
      <c r="M22" s="529"/>
    </row>
    <row r="23" spans="2:13" ht="30" customHeight="1">
      <c r="B23" s="261" t="s">
        <v>251</v>
      </c>
      <c r="C23" s="262" t="s">
        <v>252</v>
      </c>
      <c r="D23" s="260" t="s">
        <v>253</v>
      </c>
      <c r="E23" s="605"/>
      <c r="F23" s="606"/>
      <c r="G23" s="606"/>
      <c r="H23" s="606"/>
      <c r="I23" s="606"/>
      <c r="J23" s="606"/>
      <c r="K23" s="606"/>
      <c r="L23" s="606"/>
      <c r="M23" s="529"/>
    </row>
    <row r="24" spans="2:13" ht="30" customHeight="1">
      <c r="B24" s="261" t="s">
        <v>254</v>
      </c>
      <c r="C24" s="262" t="s">
        <v>255</v>
      </c>
      <c r="D24" s="260" t="s">
        <v>256</v>
      </c>
      <c r="E24" s="605"/>
      <c r="F24" s="606"/>
      <c r="G24" s="606"/>
      <c r="H24" s="606"/>
      <c r="I24" s="606"/>
      <c r="J24" s="606"/>
      <c r="K24" s="606"/>
      <c r="L24" s="606"/>
      <c r="M24" s="529"/>
    </row>
    <row r="25" spans="2:13" ht="30" customHeight="1">
      <c r="B25" s="258">
        <v>3</v>
      </c>
      <c r="C25" s="257" t="s">
        <v>257</v>
      </c>
      <c r="D25" s="607" t="s">
        <v>258</v>
      </c>
      <c r="E25" s="606"/>
      <c r="F25" s="606"/>
      <c r="G25" s="606"/>
      <c r="H25" s="606"/>
      <c r="I25" s="606"/>
      <c r="J25" s="606"/>
      <c r="K25" s="606"/>
      <c r="L25" s="606"/>
      <c r="M25" s="529"/>
    </row>
    <row r="26" spans="2:13" ht="30" customHeight="1">
      <c r="B26" s="261" t="s">
        <v>134</v>
      </c>
      <c r="C26" s="262" t="s">
        <v>259</v>
      </c>
      <c r="D26" s="260" t="s">
        <v>260</v>
      </c>
      <c r="E26" s="605"/>
      <c r="F26" s="606"/>
      <c r="G26" s="606"/>
      <c r="H26" s="606"/>
      <c r="I26" s="606"/>
      <c r="J26" s="606"/>
      <c r="K26" s="606"/>
      <c r="L26" s="606"/>
      <c r="M26" s="529"/>
    </row>
    <row r="27" spans="2:13" ht="30" customHeight="1">
      <c r="B27" s="261" t="s">
        <v>138</v>
      </c>
      <c r="C27" s="262" t="s">
        <v>261</v>
      </c>
      <c r="D27" s="260" t="s">
        <v>262</v>
      </c>
      <c r="E27" s="605"/>
      <c r="F27" s="606"/>
      <c r="G27" s="606"/>
      <c r="H27" s="606"/>
      <c r="I27" s="606"/>
      <c r="J27" s="606"/>
      <c r="K27" s="606"/>
      <c r="L27" s="606"/>
      <c r="M27" s="529"/>
    </row>
    <row r="28" spans="2:13" ht="30" customHeight="1">
      <c r="B28" s="261" t="s">
        <v>142</v>
      </c>
      <c r="C28" s="262" t="s">
        <v>263</v>
      </c>
      <c r="D28" s="260" t="s">
        <v>264</v>
      </c>
      <c r="E28" s="605"/>
      <c r="F28" s="606"/>
      <c r="G28" s="606"/>
      <c r="H28" s="606"/>
      <c r="I28" s="606"/>
      <c r="J28" s="606"/>
      <c r="K28" s="606"/>
      <c r="L28" s="606"/>
      <c r="M28" s="529"/>
    </row>
    <row r="29" spans="2:13" ht="30" customHeight="1">
      <c r="B29" s="261" t="s">
        <v>265</v>
      </c>
      <c r="C29" s="262" t="s">
        <v>266</v>
      </c>
      <c r="D29" s="260" t="s">
        <v>267</v>
      </c>
      <c r="E29" s="605"/>
      <c r="F29" s="606"/>
      <c r="G29" s="606"/>
      <c r="H29" s="606"/>
      <c r="I29" s="606"/>
      <c r="J29" s="606"/>
      <c r="K29" s="606"/>
      <c r="L29" s="606"/>
      <c r="M29" s="529"/>
    </row>
    <row r="30" spans="2:13" ht="30" customHeight="1">
      <c r="B30" s="258">
        <v>4</v>
      </c>
      <c r="C30" s="257" t="s">
        <v>268</v>
      </c>
      <c r="D30" s="607" t="s">
        <v>269</v>
      </c>
      <c r="E30" s="606"/>
      <c r="F30" s="606"/>
      <c r="G30" s="606"/>
      <c r="H30" s="606"/>
      <c r="I30" s="606"/>
      <c r="J30" s="606"/>
      <c r="K30" s="606"/>
      <c r="L30" s="606"/>
      <c r="M30" s="529"/>
    </row>
    <row r="31" spans="2:13" ht="30" customHeight="1">
      <c r="B31" s="261" t="s">
        <v>147</v>
      </c>
      <c r="C31" s="263" t="s">
        <v>270</v>
      </c>
      <c r="D31" s="260" t="s">
        <v>271</v>
      </c>
      <c r="E31" s="605"/>
      <c r="F31" s="606"/>
      <c r="G31" s="606"/>
      <c r="H31" s="606"/>
      <c r="I31" s="606"/>
      <c r="J31" s="606"/>
      <c r="K31" s="606"/>
      <c r="L31" s="606"/>
      <c r="M31" s="529"/>
    </row>
    <row r="32" spans="2:13" ht="30" customHeight="1">
      <c r="B32" s="261" t="s">
        <v>151</v>
      </c>
      <c r="C32" s="263" t="s">
        <v>272</v>
      </c>
      <c r="D32" s="260" t="s">
        <v>273</v>
      </c>
      <c r="E32" s="605"/>
      <c r="F32" s="606"/>
      <c r="G32" s="606"/>
      <c r="H32" s="606"/>
      <c r="I32" s="606"/>
      <c r="J32" s="606"/>
      <c r="K32" s="606"/>
      <c r="L32" s="606"/>
      <c r="M32" s="529"/>
    </row>
    <row r="33" spans="2:13" ht="30" customHeight="1">
      <c r="B33" s="261" t="s">
        <v>155</v>
      </c>
      <c r="C33" s="263" t="s">
        <v>274</v>
      </c>
      <c r="D33" s="260" t="s">
        <v>275</v>
      </c>
      <c r="E33" s="605"/>
      <c r="F33" s="606"/>
      <c r="G33" s="606"/>
      <c r="H33" s="606"/>
      <c r="I33" s="606"/>
      <c r="J33" s="606"/>
      <c r="K33" s="606"/>
      <c r="L33" s="606"/>
      <c r="M33" s="529"/>
    </row>
    <row r="34" spans="2:13" ht="30" customHeight="1">
      <c r="B34" s="261" t="s">
        <v>276</v>
      </c>
      <c r="C34" s="263" t="s">
        <v>277</v>
      </c>
      <c r="D34" s="260" t="s">
        <v>278</v>
      </c>
      <c r="E34" s="605"/>
      <c r="F34" s="606"/>
      <c r="G34" s="606"/>
      <c r="H34" s="606"/>
      <c r="I34" s="606"/>
      <c r="J34" s="606"/>
      <c r="K34" s="606"/>
      <c r="L34" s="606"/>
      <c r="M34" s="529"/>
    </row>
    <row r="35" spans="2:13" ht="30" customHeight="1">
      <c r="B35" s="261" t="s">
        <v>279</v>
      </c>
      <c r="C35" s="263" t="s">
        <v>280</v>
      </c>
      <c r="D35" s="260" t="s">
        <v>281</v>
      </c>
      <c r="E35" s="605"/>
      <c r="F35" s="606"/>
      <c r="G35" s="606"/>
      <c r="H35" s="606"/>
      <c r="I35" s="606"/>
      <c r="J35" s="606"/>
      <c r="K35" s="606"/>
      <c r="L35" s="606"/>
      <c r="M35" s="529"/>
    </row>
    <row r="36" spans="2:13" ht="30" customHeight="1">
      <c r="B36" s="261" t="s">
        <v>282</v>
      </c>
      <c r="C36" s="263" t="s">
        <v>283</v>
      </c>
      <c r="D36" s="260" t="s">
        <v>284</v>
      </c>
      <c r="E36" s="605"/>
      <c r="F36" s="606"/>
      <c r="G36" s="606"/>
      <c r="H36" s="606"/>
      <c r="I36" s="606"/>
      <c r="J36" s="606"/>
      <c r="K36" s="606"/>
      <c r="L36" s="606"/>
      <c r="M36" s="529"/>
    </row>
    <row r="37" spans="2:13" ht="30" customHeight="1">
      <c r="B37" s="258">
        <v>5</v>
      </c>
      <c r="C37" s="257" t="s">
        <v>285</v>
      </c>
      <c r="D37" s="607" t="s">
        <v>286</v>
      </c>
      <c r="E37" s="606"/>
      <c r="F37" s="606"/>
      <c r="G37" s="606"/>
      <c r="H37" s="606"/>
      <c r="I37" s="606"/>
      <c r="J37" s="606"/>
      <c r="K37" s="606"/>
      <c r="L37" s="606"/>
      <c r="M37" s="529"/>
    </row>
    <row r="38" spans="2:13" ht="30" customHeight="1">
      <c r="B38" s="261" t="s">
        <v>287</v>
      </c>
      <c r="C38" s="263" t="s">
        <v>288</v>
      </c>
      <c r="D38" s="260" t="s">
        <v>289</v>
      </c>
      <c r="E38" s="605"/>
      <c r="F38" s="606"/>
      <c r="G38" s="606"/>
      <c r="H38" s="606"/>
      <c r="I38" s="606"/>
      <c r="J38" s="606"/>
      <c r="K38" s="606"/>
      <c r="L38" s="606"/>
      <c r="M38" s="529"/>
    </row>
    <row r="39" spans="2:13" ht="30" customHeight="1">
      <c r="B39" s="261" t="s">
        <v>290</v>
      </c>
      <c r="C39" s="263" t="s">
        <v>291</v>
      </c>
      <c r="D39" s="260" t="s">
        <v>292</v>
      </c>
      <c r="E39" s="605"/>
      <c r="F39" s="606"/>
      <c r="G39" s="606"/>
      <c r="H39" s="606"/>
      <c r="I39" s="606"/>
      <c r="J39" s="606"/>
      <c r="K39" s="606"/>
      <c r="L39" s="606"/>
      <c r="M39" s="529"/>
    </row>
    <row r="40" spans="2:13" ht="30" customHeight="1">
      <c r="B40" s="258">
        <v>6</v>
      </c>
      <c r="C40" s="257" t="s">
        <v>293</v>
      </c>
      <c r="D40" s="607" t="s">
        <v>294</v>
      </c>
      <c r="E40" s="606"/>
      <c r="F40" s="606"/>
      <c r="G40" s="606"/>
      <c r="H40" s="606"/>
      <c r="I40" s="606"/>
      <c r="J40" s="606"/>
      <c r="K40" s="606"/>
      <c r="L40" s="606"/>
      <c r="M40" s="529"/>
    </row>
    <row r="41" spans="2:13" ht="30" customHeight="1">
      <c r="B41" s="261" t="s">
        <v>295</v>
      </c>
      <c r="C41" s="263" t="s">
        <v>296</v>
      </c>
      <c r="D41" s="260" t="s">
        <v>297</v>
      </c>
      <c r="E41" s="605"/>
      <c r="F41" s="606"/>
      <c r="G41" s="606"/>
      <c r="H41" s="606"/>
      <c r="I41" s="606"/>
      <c r="J41" s="606"/>
      <c r="K41" s="606"/>
      <c r="L41" s="606"/>
      <c r="M41" s="529"/>
    </row>
    <row r="42" spans="2:13" ht="30" customHeight="1">
      <c r="B42" s="261" t="s">
        <v>298</v>
      </c>
      <c r="C42" s="263" t="s">
        <v>299</v>
      </c>
      <c r="D42" s="260" t="s">
        <v>300</v>
      </c>
      <c r="E42" s="605"/>
      <c r="F42" s="606"/>
      <c r="G42" s="606"/>
      <c r="H42" s="606"/>
      <c r="I42" s="606"/>
      <c r="J42" s="606"/>
      <c r="K42" s="606"/>
      <c r="L42" s="606"/>
      <c r="M42" s="529"/>
    </row>
  </sheetData>
  <mergeCells count="36">
    <mergeCell ref="B5:M5"/>
    <mergeCell ref="E9:M9"/>
    <mergeCell ref="E10:M10"/>
    <mergeCell ref="D11:M11"/>
    <mergeCell ref="E22:M22"/>
    <mergeCell ref="E23:M23"/>
    <mergeCell ref="E24:M24"/>
    <mergeCell ref="B10:C10"/>
    <mergeCell ref="D25:M25"/>
    <mergeCell ref="E17:M17"/>
    <mergeCell ref="E18:M18"/>
    <mergeCell ref="E19:M19"/>
    <mergeCell ref="E20:M20"/>
    <mergeCell ref="E21:M21"/>
    <mergeCell ref="E12:M12"/>
    <mergeCell ref="E13:M13"/>
    <mergeCell ref="E14:M14"/>
    <mergeCell ref="D15:M15"/>
    <mergeCell ref="E16:M16"/>
    <mergeCell ref="E26:M26"/>
    <mergeCell ref="E27:M27"/>
    <mergeCell ref="E28:M28"/>
    <mergeCell ref="E29:M29"/>
    <mergeCell ref="E31:M31"/>
    <mergeCell ref="E41:M41"/>
    <mergeCell ref="E42:M42"/>
    <mergeCell ref="D30:M30"/>
    <mergeCell ref="D37:M37"/>
    <mergeCell ref="D40:M40"/>
    <mergeCell ref="E32:M32"/>
    <mergeCell ref="E33:M33"/>
    <mergeCell ref="E34:M34"/>
    <mergeCell ref="E35:M35"/>
    <mergeCell ref="E36:M36"/>
    <mergeCell ref="E38:M38"/>
    <mergeCell ref="E39:M39"/>
  </mergeCells>
  <pageMargins left="0.7" right="0.7" top="0.78740157499999996" bottom="0.78740157499999996"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F23D-45D6-4747-9224-FBFDEFF433B5}">
  <sheetPr>
    <pageSetUpPr fitToPage="1"/>
  </sheetPr>
  <dimension ref="A1:O114"/>
  <sheetViews>
    <sheetView showGridLines="0" showRowColHeaders="0" zoomScale="80" zoomScaleNormal="80" workbookViewId="0"/>
  </sheetViews>
  <sheetFormatPr defaultColWidth="10.85546875" defaultRowHeight="12.75"/>
  <cols>
    <col min="1" max="1" width="1.7109375" style="1" customWidth="1"/>
    <col min="2" max="2" width="5" style="2" customWidth="1"/>
    <col min="3" max="3" width="3.5703125" style="2" customWidth="1"/>
    <col min="4" max="4" width="17.5703125" style="1" customWidth="1"/>
    <col min="5" max="5" width="3.5703125" style="1" customWidth="1"/>
    <col min="6" max="6" width="17.5703125" style="1" customWidth="1"/>
    <col min="7" max="7" width="3.5703125" style="1" customWidth="1"/>
    <col min="8" max="8" width="17.5703125" style="1" customWidth="1"/>
    <col min="9" max="9" width="3.5703125" style="1" customWidth="1"/>
    <col min="10" max="10" width="17.5703125" style="1" customWidth="1"/>
    <col min="11" max="11" width="10.5703125" style="1" customWidth="1"/>
    <col min="12" max="12" width="5.85546875" style="1" customWidth="1"/>
    <col min="13" max="13" width="12.85546875" style="1" customWidth="1"/>
    <col min="14" max="14" width="10.42578125" style="1" customWidth="1"/>
    <col min="15" max="15" width="2.5703125" style="1" customWidth="1"/>
    <col min="16" max="16384" width="10.85546875" style="1"/>
  </cols>
  <sheetData>
    <row r="1" spans="1:15" ht="5.45" customHeight="1"/>
    <row r="2" spans="1:15" ht="18.600000000000001" customHeight="1">
      <c r="A2" s="32"/>
      <c r="B2" s="33" t="s">
        <v>25</v>
      </c>
      <c r="C2" s="33"/>
      <c r="D2" s="34"/>
      <c r="E2" s="34"/>
      <c r="F2" s="34"/>
      <c r="G2" s="32"/>
      <c r="H2" s="32"/>
      <c r="I2" s="32"/>
      <c r="J2" s="32"/>
      <c r="K2" s="32"/>
      <c r="L2" s="32"/>
      <c r="M2" s="32"/>
      <c r="N2" s="32"/>
    </row>
    <row r="3" spans="1:15" ht="18">
      <c r="A3" s="32"/>
      <c r="B3" s="275" t="s">
        <v>301</v>
      </c>
      <c r="C3" s="275"/>
      <c r="D3" s="34"/>
      <c r="E3" s="34"/>
      <c r="F3" s="34"/>
      <c r="G3" s="32"/>
      <c r="H3" s="32"/>
      <c r="I3" s="32"/>
      <c r="J3" s="32"/>
      <c r="K3" s="32"/>
      <c r="L3" s="32"/>
      <c r="M3" s="32"/>
      <c r="N3" s="32"/>
    </row>
    <row r="4" spans="1:15" s="8" customFormat="1" ht="5.45" customHeight="1">
      <c r="A4" s="32"/>
      <c r="B4" s="35"/>
      <c r="C4" s="35"/>
      <c r="D4" s="34"/>
      <c r="E4" s="34"/>
      <c r="F4" s="34"/>
      <c r="G4" s="32"/>
      <c r="H4" s="32"/>
      <c r="I4" s="32"/>
      <c r="J4" s="32"/>
      <c r="K4" s="32"/>
      <c r="L4" s="32"/>
      <c r="M4" s="32"/>
      <c r="N4" s="32"/>
      <c r="O4" s="24"/>
    </row>
    <row r="5" spans="1:15" s="8" customFormat="1" ht="19.5" customHeight="1">
      <c r="A5" s="32"/>
      <c r="B5" s="615" t="s">
        <v>302</v>
      </c>
      <c r="C5" s="616"/>
      <c r="D5" s="617"/>
      <c r="E5" s="617"/>
      <c r="F5" s="617"/>
      <c r="G5" s="617"/>
      <c r="H5" s="617"/>
      <c r="I5" s="617"/>
      <c r="J5" s="617"/>
      <c r="K5" s="617"/>
      <c r="L5" s="617"/>
      <c r="M5" s="617"/>
      <c r="N5" s="618"/>
      <c r="O5" s="24"/>
    </row>
    <row r="6" spans="1:15" s="8" customFormat="1" ht="4.5" customHeight="1">
      <c r="A6" s="32"/>
      <c r="B6" s="267"/>
      <c r="C6" s="280"/>
      <c r="D6" s="268"/>
      <c r="E6" s="268"/>
      <c r="F6" s="268"/>
      <c r="G6" s="269"/>
      <c r="H6" s="269"/>
      <c r="I6" s="269"/>
      <c r="J6" s="269"/>
      <c r="K6" s="269"/>
      <c r="L6" s="269"/>
      <c r="M6" s="269"/>
      <c r="N6" s="270"/>
      <c r="O6" s="24"/>
    </row>
    <row r="7" spans="1:15" s="8" customFormat="1" ht="15" customHeight="1">
      <c r="A7" s="422"/>
      <c r="B7" s="271"/>
      <c r="C7" s="281"/>
      <c r="D7" s="446" t="s">
        <v>303</v>
      </c>
      <c r="E7" s="446"/>
      <c r="F7" s="265"/>
      <c r="G7" s="446"/>
      <c r="H7" s="446"/>
      <c r="I7" s="446" t="s">
        <v>304</v>
      </c>
      <c r="J7" s="446"/>
      <c r="K7" s="446"/>
      <c r="L7" s="446"/>
      <c r="M7" s="446" t="s">
        <v>305</v>
      </c>
      <c r="N7" s="272"/>
      <c r="O7" s="24"/>
    </row>
    <row r="8" spans="1:15" ht="18.95" customHeight="1">
      <c r="B8" s="413"/>
      <c r="C8" s="282"/>
      <c r="D8" s="612"/>
      <c r="E8" s="612"/>
      <c r="F8" s="613"/>
      <c r="G8" s="614"/>
      <c r="H8" s="59"/>
      <c r="I8" s="612"/>
      <c r="J8" s="455"/>
      <c r="K8" s="455"/>
      <c r="L8" s="59"/>
      <c r="M8" s="276"/>
      <c r="N8" s="48"/>
    </row>
    <row r="9" spans="1:15" ht="6.95" customHeight="1">
      <c r="B9" s="413"/>
      <c r="C9" s="282"/>
      <c r="D9" s="77"/>
      <c r="E9" s="77"/>
      <c r="F9" s="266"/>
      <c r="G9" s="59"/>
      <c r="H9" s="59"/>
      <c r="I9" s="59"/>
      <c r="J9" s="77"/>
      <c r="K9" s="59"/>
      <c r="L9" s="59"/>
      <c r="M9" s="77"/>
      <c r="N9" s="48"/>
    </row>
    <row r="10" spans="1:15" ht="20.100000000000001" customHeight="1">
      <c r="A10" s="422"/>
      <c r="B10" s="444" t="s">
        <v>306</v>
      </c>
      <c r="C10" s="283"/>
      <c r="D10" s="273"/>
      <c r="E10" s="273"/>
      <c r="F10" s="273"/>
      <c r="G10" s="273"/>
      <c r="H10" s="273"/>
      <c r="I10" s="273"/>
      <c r="J10" s="273"/>
      <c r="K10" s="273"/>
      <c r="L10" s="273"/>
      <c r="M10" s="273"/>
      <c r="N10" s="427" t="s">
        <v>307</v>
      </c>
    </row>
    <row r="11" spans="1:15" ht="12.6" customHeight="1">
      <c r="B11" s="36" t="s">
        <v>59</v>
      </c>
      <c r="C11" s="445" t="s">
        <v>308</v>
      </c>
      <c r="D11" s="445"/>
      <c r="E11" s="445"/>
      <c r="F11" s="37"/>
      <c r="G11" s="37"/>
      <c r="H11" s="37"/>
      <c r="I11" s="37"/>
      <c r="J11" s="37"/>
      <c r="K11" s="37"/>
      <c r="L11" s="37"/>
      <c r="M11" s="37"/>
      <c r="N11" s="38"/>
    </row>
    <row r="12" spans="1:15">
      <c r="B12" s="39"/>
      <c r="C12" s="438" t="s">
        <v>309</v>
      </c>
      <c r="D12" s="438"/>
      <c r="E12" s="438"/>
      <c r="N12" s="40"/>
    </row>
    <row r="13" spans="1:15" s="2" customFormat="1" ht="12.6" customHeight="1">
      <c r="A13" s="1"/>
      <c r="B13" s="39"/>
      <c r="C13" s="2" t="s">
        <v>62</v>
      </c>
      <c r="D13" s="1" t="s">
        <v>69</v>
      </c>
      <c r="E13" s="2" t="s">
        <v>62</v>
      </c>
      <c r="F13" s="1" t="s">
        <v>70</v>
      </c>
      <c r="G13" s="2" t="s">
        <v>62</v>
      </c>
      <c r="H13" s="1" t="s">
        <v>71</v>
      </c>
      <c r="I13" s="2" t="s">
        <v>62</v>
      </c>
      <c r="J13" s="1" t="s">
        <v>72</v>
      </c>
      <c r="K13" s="1"/>
      <c r="L13" s="1"/>
      <c r="M13" s="3" t="s">
        <v>310</v>
      </c>
      <c r="N13" s="277"/>
    </row>
    <row r="14" spans="1:15" ht="12.6" customHeight="1">
      <c r="B14" s="39"/>
      <c r="C14" s="438" t="s">
        <v>311</v>
      </c>
      <c r="D14" s="438"/>
      <c r="E14" s="438"/>
      <c r="G14" s="438"/>
      <c r="I14" s="438"/>
      <c r="N14" s="278"/>
    </row>
    <row r="15" spans="1:15" ht="12.6" customHeight="1">
      <c r="B15" s="39"/>
      <c r="C15" s="2" t="s">
        <v>62</v>
      </c>
      <c r="D15" s="1" t="s">
        <v>69</v>
      </c>
      <c r="E15" s="2" t="s">
        <v>62</v>
      </c>
      <c r="F15" s="1" t="s">
        <v>70</v>
      </c>
      <c r="G15" s="2" t="s">
        <v>62</v>
      </c>
      <c r="H15" s="1" t="s">
        <v>71</v>
      </c>
      <c r="I15" s="2" t="s">
        <v>62</v>
      </c>
      <c r="J15" s="1" t="s">
        <v>72</v>
      </c>
      <c r="M15" s="3" t="s">
        <v>310</v>
      </c>
      <c r="N15" s="277"/>
    </row>
    <row r="16" spans="1:15" ht="12.6" customHeight="1">
      <c r="B16" s="39" t="s">
        <v>75</v>
      </c>
      <c r="C16" s="447" t="s">
        <v>312</v>
      </c>
      <c r="D16" s="447"/>
      <c r="E16" s="447"/>
      <c r="G16" s="447"/>
      <c r="I16" s="447"/>
      <c r="N16" s="278"/>
    </row>
    <row r="17" spans="2:14" ht="12.6" customHeight="1">
      <c r="B17" s="41"/>
      <c r="C17" s="438" t="s">
        <v>313</v>
      </c>
      <c r="D17" s="438"/>
      <c r="E17" s="438"/>
      <c r="G17" s="438"/>
      <c r="I17" s="438"/>
      <c r="N17" s="278"/>
    </row>
    <row r="18" spans="2:14" ht="12.6" customHeight="1">
      <c r="B18" s="41"/>
      <c r="C18" s="2" t="s">
        <v>62</v>
      </c>
      <c r="D18" s="1" t="s">
        <v>314</v>
      </c>
      <c r="E18" s="2" t="s">
        <v>62</v>
      </c>
      <c r="F18" s="1" t="s">
        <v>315</v>
      </c>
      <c r="G18" s="2" t="s">
        <v>62</v>
      </c>
      <c r="H18" s="1" t="s">
        <v>316</v>
      </c>
      <c r="I18" s="2" t="s">
        <v>62</v>
      </c>
      <c r="J18" s="1" t="s">
        <v>317</v>
      </c>
      <c r="M18" s="3" t="s">
        <v>310</v>
      </c>
      <c r="N18" s="277"/>
    </row>
    <row r="19" spans="2:14" ht="12.6" customHeight="1">
      <c r="B19" s="41"/>
      <c r="C19" s="438" t="s">
        <v>318</v>
      </c>
      <c r="D19" s="438"/>
      <c r="E19" s="438"/>
      <c r="G19" s="438"/>
      <c r="I19" s="438"/>
      <c r="M19" s="3"/>
      <c r="N19" s="278"/>
    </row>
    <row r="20" spans="2:14" ht="12.6" customHeight="1">
      <c r="B20" s="41"/>
      <c r="C20" s="2" t="s">
        <v>62</v>
      </c>
      <c r="D20" s="1" t="s">
        <v>314</v>
      </c>
      <c r="E20" s="2" t="s">
        <v>62</v>
      </c>
      <c r="F20" s="1" t="s">
        <v>315</v>
      </c>
      <c r="G20" s="2" t="s">
        <v>62</v>
      </c>
      <c r="H20" s="1" t="s">
        <v>316</v>
      </c>
      <c r="I20" s="2" t="s">
        <v>62</v>
      </c>
      <c r="J20" s="1" t="s">
        <v>317</v>
      </c>
      <c r="M20" s="3" t="s">
        <v>310</v>
      </c>
      <c r="N20" s="277"/>
    </row>
    <row r="21" spans="2:14" ht="12.6" customHeight="1">
      <c r="B21" s="39" t="s">
        <v>80</v>
      </c>
      <c r="C21" s="447" t="s">
        <v>319</v>
      </c>
      <c r="D21" s="447"/>
      <c r="E21" s="447"/>
      <c r="G21" s="447"/>
      <c r="I21" s="447"/>
      <c r="N21" s="278"/>
    </row>
    <row r="22" spans="2:14" ht="12.6" customHeight="1">
      <c r="B22" s="41"/>
      <c r="C22" s="438" t="s">
        <v>320</v>
      </c>
      <c r="D22" s="438"/>
      <c r="E22" s="438"/>
      <c r="G22" s="438"/>
      <c r="I22" s="438"/>
      <c r="N22" s="278"/>
    </row>
    <row r="23" spans="2:14" ht="12.6" customHeight="1">
      <c r="B23" s="41"/>
      <c r="C23" s="2" t="s">
        <v>62</v>
      </c>
      <c r="D23" s="1" t="s">
        <v>69</v>
      </c>
      <c r="E23" s="2" t="s">
        <v>62</v>
      </c>
      <c r="F23" s="1" t="s">
        <v>70</v>
      </c>
      <c r="G23" s="2" t="s">
        <v>62</v>
      </c>
      <c r="H23" s="1" t="s">
        <v>71</v>
      </c>
      <c r="I23" s="2" t="s">
        <v>62</v>
      </c>
      <c r="J23" s="1" t="s">
        <v>72</v>
      </c>
      <c r="M23" s="3" t="s">
        <v>310</v>
      </c>
      <c r="N23" s="277"/>
    </row>
    <row r="24" spans="2:14" ht="12.6" customHeight="1">
      <c r="B24" s="41"/>
      <c r="C24" s="438" t="s">
        <v>321</v>
      </c>
      <c r="D24" s="438"/>
      <c r="E24" s="438"/>
      <c r="G24" s="438"/>
      <c r="I24" s="438"/>
      <c r="M24" s="3"/>
      <c r="N24" s="278"/>
    </row>
    <row r="25" spans="2:14" ht="12.6" customHeight="1">
      <c r="B25" s="41"/>
      <c r="C25" s="2" t="s">
        <v>62</v>
      </c>
      <c r="D25" s="1" t="s">
        <v>69</v>
      </c>
      <c r="E25" s="2" t="s">
        <v>62</v>
      </c>
      <c r="F25" s="1" t="s">
        <v>70</v>
      </c>
      <c r="G25" s="2" t="s">
        <v>62</v>
      </c>
      <c r="H25" s="1" t="s">
        <v>71</v>
      </c>
      <c r="I25" s="2" t="s">
        <v>62</v>
      </c>
      <c r="J25" s="1" t="s">
        <v>72</v>
      </c>
      <c r="M25" s="3" t="s">
        <v>310</v>
      </c>
      <c r="N25" s="277"/>
    </row>
    <row r="26" spans="2:14" ht="12.6" customHeight="1">
      <c r="B26" s="39" t="s">
        <v>322</v>
      </c>
      <c r="C26" s="447" t="s">
        <v>323</v>
      </c>
      <c r="D26" s="447"/>
      <c r="E26" s="447"/>
      <c r="G26" s="447"/>
      <c r="I26" s="447"/>
      <c r="N26" s="278"/>
    </row>
    <row r="27" spans="2:14" ht="12.6" customHeight="1">
      <c r="B27" s="41"/>
      <c r="C27" s="438" t="s">
        <v>324</v>
      </c>
      <c r="D27" s="438"/>
      <c r="E27" s="438"/>
      <c r="G27" s="438"/>
      <c r="I27" s="438"/>
      <c r="N27" s="278"/>
    </row>
    <row r="28" spans="2:14" ht="12.6" customHeight="1">
      <c r="B28" s="41"/>
      <c r="C28" s="2" t="s">
        <v>62</v>
      </c>
      <c r="D28" s="1" t="s">
        <v>325</v>
      </c>
      <c r="E28" s="2" t="s">
        <v>62</v>
      </c>
      <c r="F28" s="1" t="s">
        <v>315</v>
      </c>
      <c r="G28" s="2" t="s">
        <v>62</v>
      </c>
      <c r="H28" s="1" t="s">
        <v>326</v>
      </c>
      <c r="I28" s="2" t="s">
        <v>62</v>
      </c>
      <c r="J28" s="1" t="s">
        <v>327</v>
      </c>
      <c r="M28" s="3" t="s">
        <v>310</v>
      </c>
      <c r="N28" s="277"/>
    </row>
    <row r="29" spans="2:14" ht="12.6" customHeight="1">
      <c r="B29" s="41"/>
      <c r="C29" s="438" t="s">
        <v>328</v>
      </c>
      <c r="D29" s="438"/>
      <c r="E29" s="438"/>
      <c r="G29" s="438"/>
      <c r="I29" s="438"/>
      <c r="M29" s="3"/>
      <c r="N29" s="278"/>
    </row>
    <row r="30" spans="2:14" ht="12.6" customHeight="1">
      <c r="B30" s="41"/>
      <c r="C30" s="2" t="s">
        <v>62</v>
      </c>
      <c r="D30" s="1" t="s">
        <v>69</v>
      </c>
      <c r="E30" s="2" t="s">
        <v>62</v>
      </c>
      <c r="F30" s="1" t="s">
        <v>70</v>
      </c>
      <c r="G30" s="2" t="s">
        <v>62</v>
      </c>
      <c r="H30" s="1" t="s">
        <v>71</v>
      </c>
      <c r="I30" s="2" t="s">
        <v>62</v>
      </c>
      <c r="J30" s="1" t="s">
        <v>72</v>
      </c>
      <c r="M30" s="3" t="s">
        <v>310</v>
      </c>
      <c r="N30" s="277"/>
    </row>
    <row r="31" spans="2:14" ht="12.6" customHeight="1">
      <c r="B31" s="39" t="s">
        <v>329</v>
      </c>
      <c r="C31" s="447" t="s">
        <v>330</v>
      </c>
      <c r="D31" s="447"/>
      <c r="E31" s="447"/>
      <c r="G31" s="447"/>
      <c r="I31" s="447"/>
      <c r="N31" s="278"/>
    </row>
    <row r="32" spans="2:14" ht="12.6" customHeight="1">
      <c r="B32" s="41"/>
      <c r="C32" s="438" t="s">
        <v>331</v>
      </c>
      <c r="D32" s="438"/>
      <c r="E32" s="438"/>
      <c r="G32" s="438"/>
      <c r="I32" s="438"/>
      <c r="N32" s="278"/>
    </row>
    <row r="33" spans="1:14" ht="12.6" customHeight="1">
      <c r="B33" s="41"/>
      <c r="C33" s="2" t="s">
        <v>62</v>
      </c>
      <c r="D33" s="1" t="s">
        <v>314</v>
      </c>
      <c r="E33" s="2" t="s">
        <v>62</v>
      </c>
      <c r="F33" s="1" t="s">
        <v>332</v>
      </c>
      <c r="G33" s="2" t="s">
        <v>62</v>
      </c>
      <c r="H33" s="1" t="s">
        <v>333</v>
      </c>
      <c r="I33" s="2" t="s">
        <v>62</v>
      </c>
      <c r="J33" s="1" t="s">
        <v>334</v>
      </c>
      <c r="M33" s="3" t="s">
        <v>310</v>
      </c>
      <c r="N33" s="277"/>
    </row>
    <row r="34" spans="1:14" ht="12.6" customHeight="1">
      <c r="B34" s="41"/>
      <c r="C34" s="438" t="s">
        <v>335</v>
      </c>
      <c r="D34" s="438"/>
      <c r="E34" s="438"/>
      <c r="G34" s="438"/>
      <c r="I34" s="438"/>
      <c r="M34" s="3"/>
      <c r="N34" s="278"/>
    </row>
    <row r="35" spans="1:14" ht="12.6" customHeight="1">
      <c r="B35" s="41"/>
      <c r="C35" s="2" t="s">
        <v>62</v>
      </c>
      <c r="D35" s="1" t="s">
        <v>336</v>
      </c>
      <c r="E35" s="2" t="s">
        <v>62</v>
      </c>
      <c r="F35" s="1" t="s">
        <v>337</v>
      </c>
      <c r="G35" s="2" t="s">
        <v>62</v>
      </c>
      <c r="H35" s="1" t="s">
        <v>338</v>
      </c>
      <c r="I35" s="2" t="s">
        <v>62</v>
      </c>
      <c r="J35" s="1" t="s">
        <v>339</v>
      </c>
      <c r="M35" s="3" t="s">
        <v>310</v>
      </c>
      <c r="N35" s="277"/>
    </row>
    <row r="36" spans="1:14" ht="12.6" customHeight="1" thickBot="1">
      <c r="B36" s="41"/>
      <c r="M36" s="3"/>
      <c r="N36" s="278"/>
    </row>
    <row r="37" spans="1:14" ht="18.75" customHeight="1" thickTop="1" thickBot="1">
      <c r="A37" s="42"/>
      <c r="B37" s="444"/>
      <c r="C37" s="283"/>
      <c r="D37" s="273"/>
      <c r="E37" s="273"/>
      <c r="F37" s="273"/>
      <c r="G37" s="273"/>
      <c r="H37" s="273"/>
      <c r="I37" s="273"/>
      <c r="J37" s="273"/>
      <c r="K37" s="273"/>
      <c r="L37" s="273"/>
      <c r="M37" s="274" t="s">
        <v>340</v>
      </c>
      <c r="N37" s="279">
        <f>SUM(N13:N35)</f>
        <v>0</v>
      </c>
    </row>
    <row r="38" spans="1:14" ht="12.6" customHeight="1" thickTop="1"/>
    <row r="39" spans="1:14" ht="12.6" customHeight="1"/>
    <row r="40" spans="1:14" ht="12.6" customHeight="1"/>
    <row r="41" spans="1:14" ht="12.6" customHeight="1"/>
    <row r="42" spans="1:14" ht="12.6" customHeight="1"/>
    <row r="43" spans="1:14" ht="12.6" customHeight="1"/>
    <row r="44" spans="1:14" ht="12.6" customHeight="1"/>
    <row r="45" spans="1:14" ht="12.6" customHeight="1"/>
    <row r="46" spans="1:14" ht="12.6" customHeight="1"/>
    <row r="47" spans="1:14" ht="12.6" customHeight="1"/>
    <row r="48" spans="1:14"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row r="100" ht="12.6" customHeight="1"/>
    <row r="101" ht="12.6" customHeight="1"/>
    <row r="102" ht="12.6" customHeight="1"/>
    <row r="103" ht="12.6" customHeight="1"/>
    <row r="104" ht="12.6" customHeight="1"/>
    <row r="105" ht="12.6" customHeight="1"/>
    <row r="106" ht="12.6" customHeight="1"/>
    <row r="107" ht="12.6" customHeight="1"/>
    <row r="108" ht="12.6" customHeight="1"/>
    <row r="109" ht="12.6" customHeight="1"/>
    <row r="110" ht="12.6" customHeight="1"/>
    <row r="111" ht="12.6" customHeight="1"/>
    <row r="112" ht="12.6" customHeight="1"/>
    <row r="113" ht="12.6" customHeight="1"/>
    <row r="114" ht="12.6" customHeight="1"/>
  </sheetData>
  <mergeCells count="3">
    <mergeCell ref="D8:G8"/>
    <mergeCell ref="B5:N5"/>
    <mergeCell ref="I8:K8"/>
  </mergeCells>
  <pageMargins left="0.70866141732283472" right="0.51181102362204722" top="0.59055118110236227" bottom="0.59055118110236227" header="0.31496062992125984" footer="0.31496062992125984"/>
  <pageSetup paperSize="9" scale="56"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5FBB-64AB-4EAD-B8FA-98517780D985}">
  <dimension ref="A1:S42"/>
  <sheetViews>
    <sheetView showGridLines="0" showRowColHeaders="0" zoomScale="70" zoomScaleNormal="70" workbookViewId="0"/>
  </sheetViews>
  <sheetFormatPr defaultColWidth="10.85546875" defaultRowHeight="14.25"/>
  <cols>
    <col min="1" max="1" width="1" style="1" customWidth="1"/>
    <col min="2" max="2" width="3.7109375" style="1" customWidth="1"/>
    <col min="3" max="3" width="5.85546875" style="1" customWidth="1"/>
    <col min="4" max="4" width="6.5703125" style="1" customWidth="1"/>
    <col min="5" max="5" width="20.5703125" style="1" customWidth="1"/>
    <col min="6" max="9" width="11.5703125" style="1" customWidth="1"/>
    <col min="10" max="11" width="13.5703125" style="1" customWidth="1"/>
    <col min="12" max="18" width="12.5703125" style="1" customWidth="1"/>
    <col min="19" max="19" width="2.42578125" style="1" customWidth="1"/>
    <col min="20" max="16384" width="10.85546875" style="8"/>
  </cols>
  <sheetData>
    <row r="1" spans="1:19" ht="6" customHeight="1"/>
    <row r="2" spans="1:19" ht="18">
      <c r="B2" s="421" t="s">
        <v>27</v>
      </c>
      <c r="C2" s="421"/>
      <c r="G2" s="3"/>
      <c r="H2" s="3"/>
      <c r="I2" s="3"/>
      <c r="J2" s="3"/>
      <c r="K2" s="3"/>
      <c r="L2" s="3"/>
      <c r="M2" s="3"/>
      <c r="N2" s="3"/>
      <c r="O2" s="3"/>
      <c r="P2" s="3"/>
      <c r="Q2" s="3"/>
      <c r="R2" s="3"/>
      <c r="S2" s="3"/>
    </row>
    <row r="3" spans="1:19" ht="18.95" customHeight="1">
      <c r="A3" s="422"/>
      <c r="B3" s="422" t="s">
        <v>341</v>
      </c>
      <c r="C3" s="422"/>
      <c r="D3" s="422"/>
      <c r="E3" s="422"/>
      <c r="F3" s="422"/>
      <c r="G3" s="422"/>
      <c r="H3" s="422"/>
      <c r="I3" s="422"/>
      <c r="J3" s="422"/>
      <c r="K3" s="422"/>
      <c r="L3" s="422"/>
      <c r="M3" s="422"/>
      <c r="N3" s="422"/>
      <c r="O3" s="422"/>
      <c r="P3" s="422"/>
      <c r="Q3" s="422"/>
      <c r="R3" s="422"/>
      <c r="S3" s="422"/>
    </row>
    <row r="4" spans="1:19" ht="20.45" customHeight="1">
      <c r="A4" s="422"/>
      <c r="B4" s="516" t="s">
        <v>342</v>
      </c>
      <c r="C4" s="517"/>
      <c r="D4" s="517"/>
      <c r="E4" s="517"/>
      <c r="F4" s="517"/>
      <c r="G4" s="517"/>
      <c r="H4" s="517"/>
      <c r="I4" s="517"/>
      <c r="J4" s="517"/>
      <c r="K4" s="517"/>
      <c r="L4" s="517"/>
      <c r="M4" s="517"/>
      <c r="N4" s="517"/>
      <c r="O4" s="517"/>
      <c r="P4" s="517"/>
      <c r="Q4" s="517"/>
      <c r="R4" s="517"/>
      <c r="S4" s="518"/>
    </row>
    <row r="5" spans="1:19" ht="8.1" customHeight="1">
      <c r="B5" s="12"/>
      <c r="C5" s="286"/>
      <c r="D5" s="13"/>
      <c r="E5" s="13"/>
      <c r="F5" s="13"/>
      <c r="G5" s="13"/>
      <c r="H5" s="13"/>
      <c r="I5" s="13"/>
      <c r="J5" s="13"/>
      <c r="K5" s="13"/>
      <c r="L5" s="13"/>
      <c r="M5" s="13"/>
      <c r="N5" s="13"/>
      <c r="O5" s="13"/>
      <c r="P5" s="13"/>
      <c r="Q5" s="13"/>
      <c r="R5" s="13"/>
      <c r="S5" s="15"/>
    </row>
    <row r="6" spans="1:19" ht="18" customHeight="1">
      <c r="A6" s="422"/>
      <c r="B6" s="16"/>
      <c r="C6" s="133"/>
      <c r="D6" s="419" t="s">
        <v>343</v>
      </c>
      <c r="E6" s="644"/>
      <c r="F6" s="645"/>
      <c r="G6" s="645"/>
      <c r="H6" s="645"/>
      <c r="I6" s="645"/>
      <c r="J6" s="419"/>
      <c r="K6" s="419" t="s">
        <v>45</v>
      </c>
      <c r="L6" s="662"/>
      <c r="M6" s="663"/>
      <c r="N6" s="663"/>
      <c r="O6" s="663"/>
      <c r="P6" s="419" t="s">
        <v>57</v>
      </c>
      <c r="Q6" s="361"/>
      <c r="R6" s="419"/>
      <c r="S6" s="290"/>
    </row>
    <row r="7" spans="1:19" ht="6" customHeight="1">
      <c r="B7" s="19"/>
      <c r="C7" s="287"/>
      <c r="D7" s="20"/>
      <c r="E7" s="20"/>
      <c r="F7" s="20"/>
      <c r="G7" s="20"/>
      <c r="H7" s="20"/>
      <c r="I7" s="20"/>
      <c r="J7" s="20"/>
      <c r="K7" s="20"/>
      <c r="L7" s="20"/>
      <c r="M7" s="20"/>
      <c r="N7" s="20"/>
      <c r="O7" s="20"/>
      <c r="P7" s="20"/>
      <c r="Q7" s="20"/>
      <c r="R7" s="20"/>
      <c r="S7" s="22"/>
    </row>
    <row r="8" spans="1:19" ht="20.100000000000001" customHeight="1">
      <c r="B8" s="640" t="s">
        <v>344</v>
      </c>
      <c r="C8" s="641"/>
      <c r="D8" s="642"/>
      <c r="E8" s="642"/>
      <c r="F8" s="642"/>
      <c r="G8" s="642"/>
      <c r="H8" s="642"/>
      <c r="I8" s="642"/>
      <c r="J8" s="642"/>
      <c r="K8" s="642"/>
      <c r="L8" s="642"/>
      <c r="M8" s="642"/>
      <c r="N8" s="642"/>
      <c r="O8" s="642"/>
      <c r="P8" s="642"/>
      <c r="Q8" s="642"/>
      <c r="R8" s="642"/>
      <c r="S8" s="643"/>
    </row>
    <row r="9" spans="1:19" ht="20.100000000000001" customHeight="1">
      <c r="B9" s="383"/>
      <c r="C9" s="646"/>
      <c r="D9" s="647"/>
      <c r="E9" s="647"/>
      <c r="F9" s="647"/>
      <c r="G9" s="647"/>
      <c r="H9" s="647"/>
      <c r="I9" s="647"/>
      <c r="J9" s="647"/>
      <c r="K9" s="647"/>
      <c r="L9" s="647"/>
      <c r="M9" s="647"/>
      <c r="N9" s="647"/>
      <c r="O9" s="647"/>
      <c r="P9" s="647"/>
      <c r="Q9" s="647"/>
      <c r="R9" s="648"/>
      <c r="S9" s="40"/>
    </row>
    <row r="10" spans="1:19" ht="20.100000000000001" customHeight="1">
      <c r="B10" s="383"/>
      <c r="C10" s="649"/>
      <c r="D10" s="650"/>
      <c r="E10" s="650"/>
      <c r="F10" s="650"/>
      <c r="G10" s="650"/>
      <c r="H10" s="650"/>
      <c r="I10" s="650"/>
      <c r="J10" s="650"/>
      <c r="K10" s="650"/>
      <c r="L10" s="650"/>
      <c r="M10" s="650"/>
      <c r="N10" s="650"/>
      <c r="O10" s="650"/>
      <c r="P10" s="650"/>
      <c r="Q10" s="650"/>
      <c r="R10" s="651"/>
      <c r="S10" s="40"/>
    </row>
    <row r="11" spans="1:19" ht="20.100000000000001" customHeight="1">
      <c r="B11" s="383"/>
      <c r="C11" s="649"/>
      <c r="D11" s="650"/>
      <c r="E11" s="650"/>
      <c r="F11" s="650"/>
      <c r="G11" s="650"/>
      <c r="H11" s="650"/>
      <c r="I11" s="650"/>
      <c r="J11" s="650"/>
      <c r="K11" s="650"/>
      <c r="L11" s="650"/>
      <c r="M11" s="650"/>
      <c r="N11" s="650"/>
      <c r="O11" s="650"/>
      <c r="P11" s="650"/>
      <c r="Q11" s="650"/>
      <c r="R11" s="651"/>
      <c r="S11" s="40"/>
    </row>
    <row r="12" spans="1:19" ht="9.9499999999999993" customHeight="1">
      <c r="B12" s="383"/>
      <c r="C12" s="649"/>
      <c r="D12" s="650"/>
      <c r="E12" s="650"/>
      <c r="F12" s="650"/>
      <c r="G12" s="650"/>
      <c r="H12" s="650"/>
      <c r="I12" s="650"/>
      <c r="J12" s="650"/>
      <c r="K12" s="650"/>
      <c r="L12" s="650"/>
      <c r="M12" s="650"/>
      <c r="N12" s="650"/>
      <c r="O12" s="650"/>
      <c r="P12" s="650"/>
      <c r="Q12" s="650"/>
      <c r="R12" s="651"/>
      <c r="S12" s="40"/>
    </row>
    <row r="13" spans="1:19" ht="20.100000000000001" customHeight="1">
      <c r="B13" s="383"/>
      <c r="C13" s="652"/>
      <c r="D13" s="653"/>
      <c r="E13" s="653"/>
      <c r="F13" s="653"/>
      <c r="G13" s="653"/>
      <c r="H13" s="653"/>
      <c r="I13" s="653"/>
      <c r="J13" s="653"/>
      <c r="K13" s="653"/>
      <c r="L13" s="653"/>
      <c r="M13" s="653"/>
      <c r="N13" s="653"/>
      <c r="O13" s="653"/>
      <c r="P13" s="653"/>
      <c r="Q13" s="653"/>
      <c r="R13" s="654"/>
      <c r="S13" s="40"/>
    </row>
    <row r="14" spans="1:19" ht="15.95" customHeight="1">
      <c r="B14" s="383"/>
      <c r="C14" s="384"/>
      <c r="D14" s="55"/>
      <c r="E14" s="55"/>
      <c r="F14" s="55"/>
      <c r="G14" s="55"/>
      <c r="H14" s="55"/>
      <c r="I14" s="55"/>
      <c r="J14" s="55"/>
      <c r="K14" s="55"/>
      <c r="L14" s="55"/>
      <c r="M14" s="55"/>
      <c r="N14" s="55"/>
      <c r="O14" s="55"/>
      <c r="P14" s="55"/>
      <c r="Q14" s="55"/>
      <c r="R14" s="55"/>
      <c r="S14" s="40"/>
    </row>
    <row r="15" spans="1:19" ht="15.95" customHeight="1">
      <c r="B15" s="640" t="s">
        <v>345</v>
      </c>
      <c r="C15" s="655"/>
      <c r="D15" s="656"/>
      <c r="E15" s="656"/>
      <c r="F15" s="656"/>
      <c r="G15" s="656"/>
      <c r="H15" s="656"/>
      <c r="I15" s="656"/>
      <c r="J15" s="656"/>
      <c r="K15" s="656"/>
      <c r="L15" s="656"/>
      <c r="M15" s="656"/>
      <c r="N15" s="656"/>
      <c r="O15" s="656"/>
      <c r="P15" s="656"/>
      <c r="Q15" s="656"/>
      <c r="R15" s="656"/>
      <c r="S15" s="643"/>
    </row>
    <row r="16" spans="1:19" ht="15.95" customHeight="1">
      <c r="B16" s="657" t="s">
        <v>346</v>
      </c>
      <c r="C16" s="659" t="s">
        <v>347</v>
      </c>
      <c r="D16" s="426" t="s">
        <v>5</v>
      </c>
      <c r="E16" s="426" t="s">
        <v>348</v>
      </c>
      <c r="F16" s="638" t="s">
        <v>349</v>
      </c>
      <c r="G16" s="639"/>
      <c r="H16" s="460" t="s">
        <v>350</v>
      </c>
      <c r="I16" s="635"/>
      <c r="J16" s="460" t="s">
        <v>351</v>
      </c>
      <c r="K16" s="610"/>
      <c r="L16" s="611"/>
      <c r="M16" s="460" t="s">
        <v>352</v>
      </c>
      <c r="N16" s="611"/>
      <c r="O16" s="675" t="s">
        <v>353</v>
      </c>
      <c r="P16" s="622"/>
      <c r="Q16" s="460" t="s">
        <v>354</v>
      </c>
      <c r="R16" s="611"/>
      <c r="S16" s="676"/>
    </row>
    <row r="17" spans="2:19" ht="15.95" customHeight="1">
      <c r="B17" s="658"/>
      <c r="C17" s="660"/>
      <c r="D17" s="426">
        <v>1</v>
      </c>
      <c r="E17" s="288"/>
      <c r="F17" s="619"/>
      <c r="G17" s="620"/>
      <c r="H17" s="619"/>
      <c r="I17" s="620"/>
      <c r="J17" s="619"/>
      <c r="K17" s="623"/>
      <c r="L17" s="624"/>
      <c r="M17" s="631"/>
      <c r="N17" s="632"/>
      <c r="O17" s="621"/>
      <c r="P17" s="622"/>
      <c r="Q17" s="629"/>
      <c r="R17" s="630"/>
      <c r="S17" s="658"/>
    </row>
    <row r="18" spans="2:19" ht="15.95" customHeight="1">
      <c r="B18" s="658"/>
      <c r="C18" s="660"/>
      <c r="D18" s="426">
        <v>2</v>
      </c>
      <c r="E18" s="288"/>
      <c r="F18" s="619"/>
      <c r="G18" s="620"/>
      <c r="H18" s="619"/>
      <c r="I18" s="620"/>
      <c r="J18" s="619"/>
      <c r="K18" s="623"/>
      <c r="L18" s="624"/>
      <c r="M18" s="631"/>
      <c r="N18" s="632"/>
      <c r="O18" s="621"/>
      <c r="P18" s="622"/>
      <c r="Q18" s="629"/>
      <c r="R18" s="630"/>
      <c r="S18" s="658"/>
    </row>
    <row r="19" spans="2:19" ht="15.95" customHeight="1">
      <c r="B19" s="658"/>
      <c r="C19" s="660"/>
      <c r="D19" s="426">
        <v>3</v>
      </c>
      <c r="E19" s="288"/>
      <c r="F19" s="619"/>
      <c r="G19" s="620"/>
      <c r="H19" s="619"/>
      <c r="I19" s="620"/>
      <c r="J19" s="619"/>
      <c r="K19" s="623"/>
      <c r="L19" s="624"/>
      <c r="M19" s="631"/>
      <c r="N19" s="632"/>
      <c r="O19" s="621"/>
      <c r="P19" s="622"/>
      <c r="Q19" s="629"/>
      <c r="R19" s="630"/>
      <c r="S19" s="658"/>
    </row>
    <row r="20" spans="2:19" ht="15.95" customHeight="1">
      <c r="B20" s="658"/>
      <c r="C20" s="660"/>
      <c r="D20" s="426">
        <v>4</v>
      </c>
      <c r="E20" s="288"/>
      <c r="F20" s="619"/>
      <c r="G20" s="620"/>
      <c r="H20" s="619"/>
      <c r="I20" s="620"/>
      <c r="J20" s="619"/>
      <c r="K20" s="623"/>
      <c r="L20" s="624"/>
      <c r="M20" s="631"/>
      <c r="N20" s="632"/>
      <c r="O20" s="621"/>
      <c r="P20" s="622"/>
      <c r="Q20" s="629"/>
      <c r="R20" s="630"/>
      <c r="S20" s="658"/>
    </row>
    <row r="21" spans="2:19" ht="15.95" customHeight="1">
      <c r="B21" s="658"/>
      <c r="C21" s="660"/>
      <c r="D21" s="426">
        <v>5</v>
      </c>
      <c r="E21" s="288"/>
      <c r="F21" s="619"/>
      <c r="G21" s="620"/>
      <c r="H21" s="619"/>
      <c r="I21" s="620"/>
      <c r="J21" s="619"/>
      <c r="K21" s="623"/>
      <c r="L21" s="624"/>
      <c r="M21" s="631"/>
      <c r="N21" s="632"/>
      <c r="O21" s="621"/>
      <c r="P21" s="622"/>
      <c r="Q21" s="629"/>
      <c r="R21" s="630"/>
      <c r="S21" s="658"/>
    </row>
    <row r="22" spans="2:19" ht="15.95" customHeight="1">
      <c r="B22" s="658"/>
      <c r="C22" s="661"/>
      <c r="D22" s="426">
        <v>6</v>
      </c>
      <c r="E22" s="288"/>
      <c r="F22" s="619"/>
      <c r="G22" s="620"/>
      <c r="H22" s="619"/>
      <c r="I22" s="620"/>
      <c r="J22" s="619"/>
      <c r="K22" s="623"/>
      <c r="L22" s="624"/>
      <c r="M22" s="631"/>
      <c r="N22" s="632"/>
      <c r="O22" s="621"/>
      <c r="P22" s="622"/>
      <c r="Q22" s="629"/>
      <c r="R22" s="630"/>
      <c r="S22" s="658"/>
    </row>
    <row r="23" spans="2:19" ht="15.95" customHeight="1">
      <c r="B23" s="658"/>
      <c r="C23" s="678" t="s">
        <v>346</v>
      </c>
      <c r="D23" s="285" t="s">
        <v>5</v>
      </c>
      <c r="E23" s="633" t="s">
        <v>355</v>
      </c>
      <c r="F23" s="634"/>
      <c r="G23" s="634"/>
      <c r="H23" s="635"/>
      <c r="I23" s="426" t="s">
        <v>356</v>
      </c>
      <c r="J23" s="426" t="s">
        <v>357</v>
      </c>
      <c r="K23" s="460" t="s">
        <v>358</v>
      </c>
      <c r="L23" s="635"/>
      <c r="M23" s="460" t="s">
        <v>359</v>
      </c>
      <c r="N23" s="635"/>
      <c r="O23" s="460" t="s">
        <v>360</v>
      </c>
      <c r="P23" s="635"/>
      <c r="Q23" s="460" t="s">
        <v>361</v>
      </c>
      <c r="R23" s="635"/>
      <c r="S23" s="658"/>
    </row>
    <row r="24" spans="2:19" ht="15.95" customHeight="1">
      <c r="B24" s="658"/>
      <c r="C24" s="679"/>
      <c r="D24" s="426">
        <v>1</v>
      </c>
      <c r="E24" s="666"/>
      <c r="F24" s="628"/>
      <c r="G24" s="628"/>
      <c r="H24" s="626"/>
      <c r="I24" s="385"/>
      <c r="J24" s="385"/>
      <c r="K24" s="636"/>
      <c r="L24" s="637"/>
      <c r="M24" s="636"/>
      <c r="N24" s="637"/>
      <c r="O24" s="619"/>
      <c r="P24" s="620"/>
      <c r="Q24" s="625"/>
      <c r="R24" s="626"/>
      <c r="S24" s="658"/>
    </row>
    <row r="25" spans="2:19" ht="15.95" customHeight="1">
      <c r="B25" s="658"/>
      <c r="C25" s="679"/>
      <c r="D25" s="426">
        <v>2</v>
      </c>
      <c r="E25" s="666"/>
      <c r="F25" s="628"/>
      <c r="G25" s="628"/>
      <c r="H25" s="626"/>
      <c r="I25" s="385"/>
      <c r="J25" s="385"/>
      <c r="K25" s="636"/>
      <c r="L25" s="637"/>
      <c r="M25" s="636"/>
      <c r="N25" s="637"/>
      <c r="O25" s="625"/>
      <c r="P25" s="626"/>
      <c r="Q25" s="625"/>
      <c r="R25" s="626"/>
      <c r="S25" s="658"/>
    </row>
    <row r="26" spans="2:19" ht="15.95" customHeight="1">
      <c r="B26" s="658"/>
      <c r="C26" s="679"/>
      <c r="D26" s="426">
        <v>3</v>
      </c>
      <c r="E26" s="666"/>
      <c r="F26" s="628"/>
      <c r="G26" s="628"/>
      <c r="H26" s="626"/>
      <c r="I26" s="385"/>
      <c r="J26" s="385"/>
      <c r="K26" s="636"/>
      <c r="L26" s="637"/>
      <c r="M26" s="636"/>
      <c r="N26" s="637"/>
      <c r="O26" s="625"/>
      <c r="P26" s="626"/>
      <c r="Q26" s="625"/>
      <c r="R26" s="626"/>
      <c r="S26" s="658"/>
    </row>
    <row r="27" spans="2:19" ht="20.100000000000001" customHeight="1">
      <c r="B27" s="658"/>
      <c r="C27" s="679"/>
      <c r="D27" s="426">
        <v>4</v>
      </c>
      <c r="E27" s="666"/>
      <c r="F27" s="628"/>
      <c r="G27" s="628"/>
      <c r="H27" s="626"/>
      <c r="I27" s="385"/>
      <c r="J27" s="385"/>
      <c r="K27" s="636"/>
      <c r="L27" s="637"/>
      <c r="M27" s="636"/>
      <c r="N27" s="637"/>
      <c r="O27" s="625"/>
      <c r="P27" s="626"/>
      <c r="Q27" s="625"/>
      <c r="R27" s="626"/>
      <c r="S27" s="658"/>
    </row>
    <row r="28" spans="2:19" ht="15.95" customHeight="1">
      <c r="B28" s="658"/>
      <c r="C28" s="679"/>
      <c r="D28" s="426">
        <v>5</v>
      </c>
      <c r="E28" s="666"/>
      <c r="F28" s="628"/>
      <c r="G28" s="628"/>
      <c r="H28" s="626"/>
      <c r="I28" s="385"/>
      <c r="J28" s="385"/>
      <c r="K28" s="636"/>
      <c r="L28" s="637"/>
      <c r="M28" s="636"/>
      <c r="N28" s="637"/>
      <c r="O28" s="625"/>
      <c r="P28" s="626"/>
      <c r="Q28" s="625"/>
      <c r="R28" s="626"/>
      <c r="S28" s="658"/>
    </row>
    <row r="29" spans="2:19" ht="15.95" customHeight="1">
      <c r="B29" s="640" t="s">
        <v>362</v>
      </c>
      <c r="C29" s="655"/>
      <c r="D29" s="656"/>
      <c r="E29" s="656"/>
      <c r="F29" s="656"/>
      <c r="G29" s="656"/>
      <c r="H29" s="656"/>
      <c r="I29" s="656"/>
      <c r="J29" s="656"/>
      <c r="K29" s="656"/>
      <c r="L29" s="656"/>
      <c r="M29" s="656"/>
      <c r="N29" s="656"/>
      <c r="O29" s="656"/>
      <c r="P29" s="656"/>
      <c r="Q29" s="656"/>
      <c r="R29" s="656"/>
      <c r="S29" s="643"/>
    </row>
    <row r="30" spans="2:19" ht="15.95" customHeight="1">
      <c r="B30" s="667"/>
      <c r="C30" s="670" t="s">
        <v>363</v>
      </c>
      <c r="D30" s="426" t="s">
        <v>5</v>
      </c>
      <c r="E30" s="426" t="s">
        <v>364</v>
      </c>
      <c r="F30" s="633" t="s">
        <v>365</v>
      </c>
      <c r="G30" s="634"/>
      <c r="H30" s="634"/>
      <c r="I30" s="610"/>
      <c r="J30" s="610"/>
      <c r="K30" s="611"/>
      <c r="L30" s="460" t="s">
        <v>366</v>
      </c>
      <c r="M30" s="634"/>
      <c r="N30" s="635"/>
      <c r="O30" s="460" t="s">
        <v>367</v>
      </c>
      <c r="P30" s="635"/>
      <c r="Q30" s="426" t="s">
        <v>368</v>
      </c>
      <c r="R30" s="426" t="s">
        <v>291</v>
      </c>
      <c r="S30" s="673"/>
    </row>
    <row r="31" spans="2:19" ht="15.95" customHeight="1">
      <c r="B31" s="668"/>
      <c r="C31" s="671"/>
      <c r="D31" s="426">
        <v>1</v>
      </c>
      <c r="E31" s="289"/>
      <c r="F31" s="627"/>
      <c r="G31" s="628"/>
      <c r="H31" s="628"/>
      <c r="I31" s="628"/>
      <c r="J31" s="628"/>
      <c r="K31" s="626"/>
      <c r="L31" s="627"/>
      <c r="M31" s="628"/>
      <c r="N31" s="626"/>
      <c r="O31" s="625"/>
      <c r="P31" s="626"/>
      <c r="Q31" s="289"/>
      <c r="R31" s="289"/>
      <c r="S31" s="658"/>
    </row>
    <row r="32" spans="2:19" ht="15.95" customHeight="1">
      <c r="B32" s="668"/>
      <c r="C32" s="671"/>
      <c r="D32" s="426">
        <v>2</v>
      </c>
      <c r="E32" s="289"/>
      <c r="F32" s="627"/>
      <c r="G32" s="628"/>
      <c r="H32" s="628"/>
      <c r="I32" s="628"/>
      <c r="J32" s="628"/>
      <c r="K32" s="626"/>
      <c r="L32" s="627"/>
      <c r="M32" s="628"/>
      <c r="N32" s="626"/>
      <c r="O32" s="625"/>
      <c r="P32" s="626"/>
      <c r="Q32" s="289"/>
      <c r="R32" s="289"/>
      <c r="S32" s="658"/>
    </row>
    <row r="33" spans="2:19" ht="15.95" customHeight="1">
      <c r="B33" s="668"/>
      <c r="C33" s="671"/>
      <c r="D33" s="426">
        <v>3</v>
      </c>
      <c r="E33" s="289"/>
      <c r="F33" s="627"/>
      <c r="G33" s="628"/>
      <c r="H33" s="628"/>
      <c r="I33" s="628"/>
      <c r="J33" s="628"/>
      <c r="K33" s="626"/>
      <c r="L33" s="627"/>
      <c r="M33" s="628"/>
      <c r="N33" s="626"/>
      <c r="O33" s="625"/>
      <c r="P33" s="626"/>
      <c r="Q33" s="289"/>
      <c r="R33" s="289"/>
      <c r="S33" s="658"/>
    </row>
    <row r="34" spans="2:19" ht="15.95" customHeight="1">
      <c r="B34" s="668"/>
      <c r="C34" s="671"/>
      <c r="D34" s="426">
        <v>4</v>
      </c>
      <c r="E34" s="289"/>
      <c r="F34" s="627"/>
      <c r="G34" s="628"/>
      <c r="H34" s="628"/>
      <c r="I34" s="628"/>
      <c r="J34" s="628"/>
      <c r="K34" s="626"/>
      <c r="L34" s="627"/>
      <c r="M34" s="628"/>
      <c r="N34" s="626"/>
      <c r="O34" s="625"/>
      <c r="P34" s="626"/>
      <c r="Q34" s="289"/>
      <c r="R34" s="289"/>
      <c r="S34" s="658"/>
    </row>
    <row r="35" spans="2:19" ht="15.95" customHeight="1">
      <c r="B35" s="668"/>
      <c r="C35" s="671"/>
      <c r="D35" s="426">
        <v>5</v>
      </c>
      <c r="E35" s="289"/>
      <c r="F35" s="627"/>
      <c r="G35" s="628"/>
      <c r="H35" s="628"/>
      <c r="I35" s="628"/>
      <c r="J35" s="628"/>
      <c r="K35" s="626"/>
      <c r="L35" s="627"/>
      <c r="M35" s="628"/>
      <c r="N35" s="626"/>
      <c r="O35" s="625"/>
      <c r="P35" s="626"/>
      <c r="Q35" s="289"/>
      <c r="R35" s="289"/>
      <c r="S35" s="658"/>
    </row>
    <row r="36" spans="2:19" ht="15.95" customHeight="1">
      <c r="B36" s="668"/>
      <c r="C36" s="672"/>
      <c r="D36" s="426">
        <v>6</v>
      </c>
      <c r="E36" s="289"/>
      <c r="F36" s="627"/>
      <c r="G36" s="628"/>
      <c r="H36" s="628"/>
      <c r="I36" s="628"/>
      <c r="J36" s="628"/>
      <c r="K36" s="626"/>
      <c r="L36" s="627"/>
      <c r="M36" s="628"/>
      <c r="N36" s="626"/>
      <c r="O36" s="625"/>
      <c r="P36" s="626"/>
      <c r="Q36" s="289"/>
      <c r="R36" s="289"/>
      <c r="S36" s="658"/>
    </row>
    <row r="37" spans="2:19" ht="15.95" customHeight="1">
      <c r="B37" s="658"/>
      <c r="C37" s="674" t="s">
        <v>369</v>
      </c>
      <c r="D37" s="285" t="s">
        <v>5</v>
      </c>
      <c r="E37" s="285" t="s">
        <v>364</v>
      </c>
      <c r="F37" s="675" t="s">
        <v>370</v>
      </c>
      <c r="G37" s="677"/>
      <c r="H37" s="677"/>
      <c r="I37" s="677"/>
      <c r="J37" s="677"/>
      <c r="K37" s="677"/>
      <c r="L37" s="460" t="s">
        <v>371</v>
      </c>
      <c r="M37" s="634"/>
      <c r="N37" s="634"/>
      <c r="O37" s="634"/>
      <c r="P37" s="634"/>
      <c r="Q37" s="634"/>
      <c r="R37" s="635"/>
      <c r="S37" s="658"/>
    </row>
    <row r="38" spans="2:19" ht="15.95" customHeight="1">
      <c r="B38" s="658"/>
      <c r="C38" s="671"/>
      <c r="D38" s="426">
        <v>1</v>
      </c>
      <c r="E38" s="284"/>
      <c r="F38" s="664"/>
      <c r="G38" s="606"/>
      <c r="H38" s="606"/>
      <c r="I38" s="606"/>
      <c r="J38" s="606"/>
      <c r="K38" s="529"/>
      <c r="L38" s="665"/>
      <c r="M38" s="606"/>
      <c r="N38" s="606"/>
      <c r="O38" s="606"/>
      <c r="P38" s="606"/>
      <c r="Q38" s="606"/>
      <c r="R38" s="529"/>
      <c r="S38" s="658"/>
    </row>
    <row r="39" spans="2:19" ht="15.95" customHeight="1">
      <c r="B39" s="658"/>
      <c r="C39" s="671"/>
      <c r="D39" s="426">
        <v>2</v>
      </c>
      <c r="E39" s="428"/>
      <c r="F39" s="664"/>
      <c r="G39" s="606"/>
      <c r="H39" s="606"/>
      <c r="I39" s="606"/>
      <c r="J39" s="606"/>
      <c r="K39" s="529"/>
      <c r="L39" s="665"/>
      <c r="M39" s="606"/>
      <c r="N39" s="606"/>
      <c r="O39" s="606"/>
      <c r="P39" s="606"/>
      <c r="Q39" s="606"/>
      <c r="R39" s="529"/>
      <c r="S39" s="658"/>
    </row>
    <row r="40" spans="2:19" ht="15.95" customHeight="1">
      <c r="B40" s="658"/>
      <c r="C40" s="671"/>
      <c r="D40" s="426">
        <v>3</v>
      </c>
      <c r="E40" s="428"/>
      <c r="F40" s="664"/>
      <c r="G40" s="606"/>
      <c r="H40" s="606"/>
      <c r="I40" s="606"/>
      <c r="J40" s="606"/>
      <c r="K40" s="529"/>
      <c r="L40" s="665"/>
      <c r="M40" s="606"/>
      <c r="N40" s="606"/>
      <c r="O40" s="606"/>
      <c r="P40" s="606"/>
      <c r="Q40" s="606"/>
      <c r="R40" s="529"/>
      <c r="S40" s="658"/>
    </row>
    <row r="41" spans="2:19" ht="15">
      <c r="B41" s="658"/>
      <c r="C41" s="671"/>
      <c r="D41" s="426">
        <v>4</v>
      </c>
      <c r="E41" s="428"/>
      <c r="F41" s="664"/>
      <c r="G41" s="606"/>
      <c r="H41" s="606"/>
      <c r="I41" s="606"/>
      <c r="J41" s="606"/>
      <c r="K41" s="529"/>
      <c r="L41" s="665"/>
      <c r="M41" s="606"/>
      <c r="N41" s="606"/>
      <c r="O41" s="606"/>
      <c r="P41" s="606"/>
      <c r="Q41" s="606"/>
      <c r="R41" s="529"/>
      <c r="S41" s="658"/>
    </row>
    <row r="42" spans="2:19" ht="15">
      <c r="B42" s="669"/>
      <c r="C42" s="672"/>
      <c r="D42" s="426">
        <v>5</v>
      </c>
      <c r="E42" s="428"/>
      <c r="F42" s="664"/>
      <c r="G42" s="606"/>
      <c r="H42" s="606"/>
      <c r="I42" s="606"/>
      <c r="J42" s="606"/>
      <c r="K42" s="529"/>
      <c r="L42" s="665"/>
      <c r="M42" s="606"/>
      <c r="N42" s="606"/>
      <c r="O42" s="606"/>
      <c r="P42" s="606"/>
      <c r="Q42" s="606"/>
      <c r="R42" s="529"/>
      <c r="S42" s="669"/>
    </row>
  </sheetData>
  <mergeCells count="120">
    <mergeCell ref="F37:K37"/>
    <mergeCell ref="L37:R37"/>
    <mergeCell ref="F38:K38"/>
    <mergeCell ref="L38:R38"/>
    <mergeCell ref="F39:K39"/>
    <mergeCell ref="L39:R39"/>
    <mergeCell ref="C23:C28"/>
    <mergeCell ref="E27:H27"/>
    <mergeCell ref="K27:L27"/>
    <mergeCell ref="M27:N27"/>
    <mergeCell ref="O27:P27"/>
    <mergeCell ref="Q27:R27"/>
    <mergeCell ref="E28:H28"/>
    <mergeCell ref="K28:L28"/>
    <mergeCell ref="M28:N28"/>
    <mergeCell ref="Q28:R28"/>
    <mergeCell ref="O26:P26"/>
    <mergeCell ref="Q24:R24"/>
    <mergeCell ref="O30:P30"/>
    <mergeCell ref="F35:K35"/>
    <mergeCell ref="F33:K33"/>
    <mergeCell ref="L31:N31"/>
    <mergeCell ref="O31:P31"/>
    <mergeCell ref="L32:N32"/>
    <mergeCell ref="M16:N16"/>
    <mergeCell ref="O16:P16"/>
    <mergeCell ref="Q16:R16"/>
    <mergeCell ref="S16:S28"/>
    <mergeCell ref="J17:L17"/>
    <mergeCell ref="M17:N17"/>
    <mergeCell ref="O17:P17"/>
    <mergeCell ref="Q17:R17"/>
    <mergeCell ref="J18:L18"/>
    <mergeCell ref="M18:N18"/>
    <mergeCell ref="O18:P18"/>
    <mergeCell ref="Q18:R18"/>
    <mergeCell ref="J19:L19"/>
    <mergeCell ref="M19:N19"/>
    <mergeCell ref="K24:L24"/>
    <mergeCell ref="Q21:R21"/>
    <mergeCell ref="Q26:R26"/>
    <mergeCell ref="J22:L22"/>
    <mergeCell ref="O28:P28"/>
    <mergeCell ref="K26:L26"/>
    <mergeCell ref="M26:N26"/>
    <mergeCell ref="F40:K40"/>
    <mergeCell ref="L40:R40"/>
    <mergeCell ref="L33:N33"/>
    <mergeCell ref="F36:K36"/>
    <mergeCell ref="E24:H24"/>
    <mergeCell ref="E25:H25"/>
    <mergeCell ref="E26:H26"/>
    <mergeCell ref="K25:L25"/>
    <mergeCell ref="M25:N25"/>
    <mergeCell ref="O25:P25"/>
    <mergeCell ref="Q25:R25"/>
    <mergeCell ref="B29:S29"/>
    <mergeCell ref="B30:B42"/>
    <mergeCell ref="C30:C36"/>
    <mergeCell ref="S30:S42"/>
    <mergeCell ref="L35:N35"/>
    <mergeCell ref="O35:P35"/>
    <mergeCell ref="L36:N36"/>
    <mergeCell ref="O36:P36"/>
    <mergeCell ref="C37:C42"/>
    <mergeCell ref="F41:K41"/>
    <mergeCell ref="L41:R41"/>
    <mergeCell ref="F42:K42"/>
    <mergeCell ref="L42:R42"/>
    <mergeCell ref="B4:S4"/>
    <mergeCell ref="E23:H23"/>
    <mergeCell ref="F16:G16"/>
    <mergeCell ref="H16:I16"/>
    <mergeCell ref="M21:N21"/>
    <mergeCell ref="O21:P21"/>
    <mergeCell ref="M22:N22"/>
    <mergeCell ref="O22:P22"/>
    <mergeCell ref="Q22:R22"/>
    <mergeCell ref="K23:L23"/>
    <mergeCell ref="M23:N23"/>
    <mergeCell ref="O23:P23"/>
    <mergeCell ref="Q23:R23"/>
    <mergeCell ref="B8:S8"/>
    <mergeCell ref="E6:I6"/>
    <mergeCell ref="C9:R13"/>
    <mergeCell ref="B15:S15"/>
    <mergeCell ref="B16:B28"/>
    <mergeCell ref="C16:C22"/>
    <mergeCell ref="J16:L16"/>
    <mergeCell ref="L6:O6"/>
    <mergeCell ref="F17:G17"/>
    <mergeCell ref="H17:I17"/>
    <mergeCell ref="H18:I18"/>
    <mergeCell ref="F34:K34"/>
    <mergeCell ref="O33:P33"/>
    <mergeCell ref="L34:N34"/>
    <mergeCell ref="O34:P34"/>
    <mergeCell ref="Q19:R19"/>
    <mergeCell ref="J20:L20"/>
    <mergeCell ref="M20:N20"/>
    <mergeCell ref="O20:P20"/>
    <mergeCell ref="Q20:R20"/>
    <mergeCell ref="F22:G22"/>
    <mergeCell ref="H22:I22"/>
    <mergeCell ref="F30:K30"/>
    <mergeCell ref="F20:G20"/>
    <mergeCell ref="H20:I20"/>
    <mergeCell ref="L30:N30"/>
    <mergeCell ref="M24:N24"/>
    <mergeCell ref="O24:P24"/>
    <mergeCell ref="F18:G18"/>
    <mergeCell ref="F19:G19"/>
    <mergeCell ref="H19:I19"/>
    <mergeCell ref="O19:P19"/>
    <mergeCell ref="F21:G21"/>
    <mergeCell ref="H21:I21"/>
    <mergeCell ref="J21:L21"/>
    <mergeCell ref="O32:P32"/>
    <mergeCell ref="F31:K31"/>
    <mergeCell ref="F32:K32"/>
  </mergeCells>
  <pageMargins left="0.7" right="0.7" top="0.78740157499999996" bottom="0.78740157499999996"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DDA6-FEBD-431A-B5B5-5F2B88372EE7}">
  <dimension ref="A1:S30"/>
  <sheetViews>
    <sheetView showGridLines="0" showRowColHeaders="0" zoomScale="80" zoomScaleNormal="80" workbookViewId="0"/>
  </sheetViews>
  <sheetFormatPr defaultColWidth="10.85546875" defaultRowHeight="14.25"/>
  <cols>
    <col min="1" max="1" width="1" style="1" customWidth="1"/>
    <col min="2" max="2" width="1.85546875" style="1" customWidth="1"/>
    <col min="3" max="3" width="6.5703125" style="1" customWidth="1"/>
    <col min="4" max="4" width="8.85546875" style="1" customWidth="1"/>
    <col min="5" max="5" width="16.5703125" style="1" customWidth="1"/>
    <col min="6" max="6" width="12.5703125" style="1" customWidth="1"/>
    <col min="7" max="9" width="11.5703125" style="1" customWidth="1"/>
    <col min="10" max="11" width="12.5703125" style="1" customWidth="1"/>
    <col min="12" max="18" width="11.5703125" style="1" customWidth="1"/>
    <col min="19" max="19" width="1.5703125" style="1" customWidth="1"/>
    <col min="20" max="16384" width="10.85546875" style="8"/>
  </cols>
  <sheetData>
    <row r="1" spans="1:19" ht="6" customHeight="1"/>
    <row r="2" spans="1:19" ht="18">
      <c r="B2" s="421" t="s">
        <v>29</v>
      </c>
      <c r="F2" s="3"/>
      <c r="G2" s="3"/>
      <c r="H2" s="3"/>
      <c r="I2" s="3"/>
      <c r="J2" s="3"/>
      <c r="K2" s="3"/>
      <c r="L2" s="3"/>
      <c r="M2" s="3"/>
      <c r="N2" s="3"/>
      <c r="O2" s="3"/>
      <c r="P2" s="3"/>
      <c r="Q2" s="3"/>
      <c r="R2" s="3"/>
      <c r="S2" s="3"/>
    </row>
    <row r="3" spans="1:19" ht="18.95" customHeight="1">
      <c r="A3" s="422"/>
      <c r="B3" s="422" t="s">
        <v>372</v>
      </c>
      <c r="C3" s="422"/>
      <c r="D3" s="422"/>
      <c r="E3" s="422"/>
      <c r="F3" s="422"/>
      <c r="G3" s="422"/>
      <c r="H3" s="422"/>
      <c r="I3" s="422"/>
      <c r="J3" s="422"/>
      <c r="K3" s="422"/>
      <c r="L3" s="422"/>
      <c r="M3" s="422"/>
      <c r="N3" s="422"/>
      <c r="O3" s="422"/>
      <c r="P3" s="422"/>
      <c r="Q3" s="422"/>
      <c r="R3" s="422"/>
      <c r="S3" s="422"/>
    </row>
    <row r="4" spans="1:19" ht="20.45" customHeight="1">
      <c r="A4" s="422"/>
      <c r="B4" s="516" t="s">
        <v>373</v>
      </c>
      <c r="C4" s="517"/>
      <c r="D4" s="517"/>
      <c r="E4" s="517"/>
      <c r="F4" s="517"/>
      <c r="G4" s="517"/>
      <c r="H4" s="517"/>
      <c r="I4" s="517"/>
      <c r="J4" s="517"/>
      <c r="K4" s="517"/>
      <c r="L4" s="517"/>
      <c r="M4" s="517"/>
      <c r="N4" s="517"/>
      <c r="O4" s="517"/>
      <c r="P4" s="517"/>
      <c r="Q4" s="517"/>
      <c r="R4" s="517"/>
      <c r="S4" s="518"/>
    </row>
    <row r="5" spans="1:19" ht="8.1" customHeight="1">
      <c r="B5" s="12"/>
      <c r="C5" s="13"/>
      <c r="D5" s="13"/>
      <c r="E5" s="13"/>
      <c r="F5" s="13"/>
      <c r="G5" s="13"/>
      <c r="H5" s="13"/>
      <c r="I5" s="13"/>
      <c r="J5" s="13"/>
      <c r="K5" s="13"/>
      <c r="L5" s="13"/>
      <c r="M5" s="13"/>
      <c r="N5" s="13"/>
      <c r="O5" s="13"/>
      <c r="P5" s="13"/>
      <c r="Q5" s="13"/>
      <c r="R5" s="13"/>
      <c r="S5" s="15"/>
    </row>
    <row r="6" spans="1:19" ht="18" customHeight="1">
      <c r="A6" s="422"/>
      <c r="B6" s="16"/>
      <c r="C6" s="419"/>
      <c r="D6" s="419" t="s">
        <v>343</v>
      </c>
      <c r="E6" s="662"/>
      <c r="F6" s="663"/>
      <c r="G6" s="663"/>
      <c r="H6" s="663"/>
      <c r="I6" s="419" t="s">
        <v>374</v>
      </c>
      <c r="J6" s="662"/>
      <c r="K6" s="663"/>
      <c r="L6" s="663"/>
      <c r="M6" s="419" t="s">
        <v>375</v>
      </c>
      <c r="N6" s="680"/>
      <c r="O6" s="680"/>
      <c r="P6" s="680"/>
      <c r="Q6" s="419" t="s">
        <v>376</v>
      </c>
      <c r="R6" s="314"/>
      <c r="S6" s="290"/>
    </row>
    <row r="7" spans="1:19" ht="6" customHeight="1">
      <c r="B7" s="19"/>
      <c r="C7" s="20"/>
      <c r="D7" s="20"/>
      <c r="E7" s="20"/>
      <c r="F7" s="20"/>
      <c r="G7" s="20"/>
      <c r="H7" s="20"/>
      <c r="I7" s="20"/>
      <c r="J7" s="20"/>
      <c r="K7" s="20"/>
      <c r="L7" s="20"/>
      <c r="M7" s="20"/>
      <c r="N7" s="20"/>
      <c r="O7" s="20"/>
      <c r="P7" s="20"/>
      <c r="Q7" s="20"/>
      <c r="R7" s="20"/>
      <c r="S7" s="22"/>
    </row>
    <row r="8" spans="1:19" ht="20.100000000000001" customHeight="1">
      <c r="B8" s="640" t="s">
        <v>377</v>
      </c>
      <c r="C8" s="656"/>
      <c r="D8" s="656"/>
      <c r="E8" s="656"/>
      <c r="F8" s="656"/>
      <c r="G8" s="656"/>
      <c r="H8" s="656"/>
      <c r="I8" s="656"/>
      <c r="J8" s="656"/>
      <c r="K8" s="656"/>
      <c r="L8" s="656"/>
      <c r="M8" s="656"/>
      <c r="N8" s="656"/>
      <c r="O8" s="656"/>
      <c r="P8" s="656"/>
      <c r="Q8" s="656"/>
      <c r="R8" s="656"/>
      <c r="S8" s="643"/>
    </row>
    <row r="9" spans="1:19" ht="14.1" customHeight="1">
      <c r="B9" s="657" t="s">
        <v>346</v>
      </c>
      <c r="C9" s="687" t="s">
        <v>5</v>
      </c>
      <c r="D9" s="697" t="s">
        <v>378</v>
      </c>
      <c r="E9" s="453"/>
      <c r="F9" s="703" t="s">
        <v>218</v>
      </c>
      <c r="G9" s="704"/>
      <c r="H9" s="704"/>
      <c r="I9" s="598"/>
      <c r="J9" s="697" t="s">
        <v>379</v>
      </c>
      <c r="K9" s="453"/>
      <c r="L9" s="697" t="s">
        <v>380</v>
      </c>
      <c r="M9" s="453"/>
      <c r="N9" s="460" t="s">
        <v>381</v>
      </c>
      <c r="O9" s="611"/>
      <c r="P9" s="460" t="s">
        <v>382</v>
      </c>
      <c r="Q9" s="610"/>
      <c r="R9" s="611"/>
      <c r="S9" s="676"/>
    </row>
    <row r="10" spans="1:19" ht="14.1" customHeight="1">
      <c r="B10" s="657"/>
      <c r="C10" s="527"/>
      <c r="D10" s="601"/>
      <c r="E10" s="602"/>
      <c r="F10" s="601"/>
      <c r="G10" s="705"/>
      <c r="H10" s="705"/>
      <c r="I10" s="602"/>
      <c r="J10" s="698" t="s">
        <v>383</v>
      </c>
      <c r="K10" s="602"/>
      <c r="L10" s="698" t="s">
        <v>384</v>
      </c>
      <c r="M10" s="602"/>
      <c r="N10" s="425" t="s">
        <v>385</v>
      </c>
      <c r="O10" s="425" t="s">
        <v>386</v>
      </c>
      <c r="P10" s="10" t="s">
        <v>387</v>
      </c>
      <c r="Q10" s="10" t="s">
        <v>388</v>
      </c>
      <c r="R10" s="10" t="s">
        <v>389</v>
      </c>
      <c r="S10" s="676"/>
    </row>
    <row r="11" spans="1:19" ht="15.95" customHeight="1">
      <c r="B11" s="658"/>
      <c r="C11" s="426">
        <v>1</v>
      </c>
      <c r="D11" s="694"/>
      <c r="E11" s="695"/>
      <c r="F11" s="605"/>
      <c r="G11" s="701"/>
      <c r="H11" s="701"/>
      <c r="I11" s="702"/>
      <c r="J11" s="694"/>
      <c r="K11" s="695"/>
      <c r="L11" s="694"/>
      <c r="M11" s="695"/>
      <c r="N11" s="315"/>
      <c r="O11" s="316"/>
      <c r="P11" s="313"/>
      <c r="Q11" s="120"/>
      <c r="R11" s="120"/>
      <c r="S11" s="658"/>
    </row>
    <row r="12" spans="1:19" ht="15.95" customHeight="1">
      <c r="B12" s="658"/>
      <c r="C12" s="426">
        <v>2</v>
      </c>
      <c r="D12" s="689"/>
      <c r="E12" s="690"/>
      <c r="F12" s="605"/>
      <c r="G12" s="701"/>
      <c r="H12" s="701"/>
      <c r="I12" s="702"/>
      <c r="J12" s="689"/>
      <c r="K12" s="690"/>
      <c r="L12" s="689"/>
      <c r="M12" s="690"/>
      <c r="N12" s="315"/>
      <c r="O12" s="316"/>
      <c r="P12" s="120"/>
      <c r="Q12" s="120"/>
      <c r="R12" s="120"/>
      <c r="S12" s="658"/>
    </row>
    <row r="13" spans="1:19" ht="15.95" customHeight="1">
      <c r="B13" s="658"/>
      <c r="C13" s="426">
        <v>3</v>
      </c>
      <c r="D13" s="689"/>
      <c r="E13" s="690"/>
      <c r="F13" s="605"/>
      <c r="G13" s="701"/>
      <c r="H13" s="701"/>
      <c r="I13" s="702"/>
      <c r="J13" s="689"/>
      <c r="K13" s="690"/>
      <c r="L13" s="689"/>
      <c r="M13" s="690"/>
      <c r="N13" s="315"/>
      <c r="O13" s="316"/>
      <c r="P13" s="120"/>
      <c r="Q13" s="120"/>
      <c r="R13" s="120"/>
      <c r="S13" s="658"/>
    </row>
    <row r="14" spans="1:19" ht="15.95" customHeight="1">
      <c r="B14" s="658"/>
      <c r="C14" s="426">
        <v>4</v>
      </c>
      <c r="D14" s="689"/>
      <c r="E14" s="690"/>
      <c r="F14" s="605"/>
      <c r="G14" s="701"/>
      <c r="H14" s="701"/>
      <c r="I14" s="702"/>
      <c r="J14" s="689"/>
      <c r="K14" s="690"/>
      <c r="L14" s="689"/>
      <c r="M14" s="690"/>
      <c r="N14" s="315"/>
      <c r="O14" s="316"/>
      <c r="P14" s="120"/>
      <c r="Q14" s="120"/>
      <c r="R14" s="120"/>
      <c r="S14" s="658"/>
    </row>
    <row r="15" spans="1:19" ht="15.95" customHeight="1">
      <c r="B15" s="658"/>
      <c r="C15" s="426">
        <v>5</v>
      </c>
      <c r="D15" s="689"/>
      <c r="E15" s="690"/>
      <c r="F15" s="605"/>
      <c r="G15" s="701"/>
      <c r="H15" s="701"/>
      <c r="I15" s="702"/>
      <c r="J15" s="689"/>
      <c r="K15" s="690"/>
      <c r="L15" s="689"/>
      <c r="M15" s="690"/>
      <c r="N15" s="315"/>
      <c r="O15" s="316"/>
      <c r="P15" s="120"/>
      <c r="Q15" s="120"/>
      <c r="R15" s="120"/>
      <c r="S15" s="658"/>
    </row>
    <row r="16" spans="1:19" ht="15.95" customHeight="1">
      <c r="B16" s="658"/>
      <c r="C16" s="426">
        <v>6</v>
      </c>
      <c r="D16" s="689"/>
      <c r="E16" s="690"/>
      <c r="F16" s="605"/>
      <c r="G16" s="701"/>
      <c r="H16" s="701"/>
      <c r="I16" s="702"/>
      <c r="J16" s="689"/>
      <c r="K16" s="690"/>
      <c r="L16" s="689"/>
      <c r="M16" s="690"/>
      <c r="N16" s="315"/>
      <c r="O16" s="316"/>
      <c r="P16" s="120"/>
      <c r="Q16" s="120"/>
      <c r="R16" s="120"/>
      <c r="S16" s="658"/>
    </row>
    <row r="17" spans="2:19" ht="15.95" customHeight="1">
      <c r="B17" s="658"/>
      <c r="C17" s="426">
        <v>7</v>
      </c>
      <c r="D17" s="689"/>
      <c r="E17" s="690"/>
      <c r="F17" s="605"/>
      <c r="G17" s="701"/>
      <c r="H17" s="701"/>
      <c r="I17" s="702"/>
      <c r="J17" s="689"/>
      <c r="K17" s="690"/>
      <c r="L17" s="689"/>
      <c r="M17" s="690"/>
      <c r="N17" s="315"/>
      <c r="O17" s="316"/>
      <c r="P17" s="120"/>
      <c r="Q17" s="120"/>
      <c r="R17" s="120"/>
      <c r="S17" s="658"/>
    </row>
    <row r="18" spans="2:19" ht="9.9499999999999993" customHeight="1">
      <c r="B18" s="696"/>
      <c r="C18" s="306"/>
      <c r="D18" s="307"/>
      <c r="E18" s="691"/>
      <c r="F18" s="692"/>
      <c r="G18" s="691"/>
      <c r="H18" s="691"/>
      <c r="I18" s="692"/>
      <c r="J18" s="691"/>
      <c r="K18" s="692"/>
      <c r="L18" s="691"/>
      <c r="M18" s="692"/>
      <c r="N18" s="691"/>
      <c r="O18" s="692"/>
      <c r="P18" s="699"/>
      <c r="Q18" s="700"/>
      <c r="R18" s="700"/>
      <c r="S18" s="693"/>
    </row>
    <row r="19" spans="2:19" ht="20.100000000000001" customHeight="1">
      <c r="B19" s="640" t="s">
        <v>390</v>
      </c>
      <c r="C19" s="642"/>
      <c r="D19" s="642"/>
      <c r="E19" s="642"/>
      <c r="F19" s="642"/>
      <c r="G19" s="642"/>
      <c r="H19" s="642"/>
      <c r="I19" s="642"/>
      <c r="J19" s="642"/>
      <c r="K19" s="642"/>
      <c r="L19" s="642"/>
      <c r="M19" s="642"/>
      <c r="N19" s="642"/>
      <c r="O19" s="642"/>
      <c r="P19" s="642"/>
      <c r="Q19" s="642"/>
      <c r="R19" s="642"/>
      <c r="S19" s="643"/>
    </row>
    <row r="20" spans="2:19" ht="14.1" customHeight="1">
      <c r="B20" s="308"/>
      <c r="C20" s="687" t="s">
        <v>391</v>
      </c>
      <c r="D20" s="687"/>
      <c r="E20" s="687"/>
      <c r="F20" s="687"/>
      <c r="G20" s="687" t="s">
        <v>392</v>
      </c>
      <c r="H20" s="687"/>
      <c r="I20" s="687"/>
      <c r="J20" s="687"/>
      <c r="K20" s="687" t="s">
        <v>393</v>
      </c>
      <c r="L20" s="687"/>
      <c r="M20" s="687"/>
      <c r="N20" s="687"/>
      <c r="O20" s="687" t="s">
        <v>394</v>
      </c>
      <c r="P20" s="687"/>
      <c r="Q20" s="687"/>
      <c r="R20" s="687"/>
      <c r="S20" s="310"/>
    </row>
    <row r="21" spans="2:19" ht="14.1" customHeight="1">
      <c r="B21" s="308"/>
      <c r="C21" s="688" t="s">
        <v>395</v>
      </c>
      <c r="D21" s="688"/>
      <c r="E21" s="688"/>
      <c r="F21" s="688"/>
      <c r="G21" s="688" t="s">
        <v>396</v>
      </c>
      <c r="H21" s="688"/>
      <c r="I21" s="688"/>
      <c r="J21" s="688"/>
      <c r="K21" s="688" t="s">
        <v>397</v>
      </c>
      <c r="L21" s="688"/>
      <c r="M21" s="688"/>
      <c r="N21" s="688"/>
      <c r="O21" s="688" t="s">
        <v>398</v>
      </c>
      <c r="P21" s="688"/>
      <c r="Q21" s="688"/>
      <c r="R21" s="688"/>
      <c r="S21" s="310"/>
    </row>
    <row r="22" spans="2:19" ht="20.100000000000001" customHeight="1">
      <c r="B22" s="308"/>
      <c r="C22" s="681"/>
      <c r="D22" s="682"/>
      <c r="E22" s="682"/>
      <c r="F22" s="683"/>
      <c r="G22" s="681"/>
      <c r="H22" s="682"/>
      <c r="I22" s="682"/>
      <c r="J22" s="683"/>
      <c r="K22" s="681"/>
      <c r="L22" s="682"/>
      <c r="M22" s="682"/>
      <c r="N22" s="683"/>
      <c r="O22" s="681"/>
      <c r="P22" s="682"/>
      <c r="Q22" s="682"/>
      <c r="R22" s="683"/>
      <c r="S22" s="310"/>
    </row>
    <row r="23" spans="2:19" ht="20.100000000000001" customHeight="1">
      <c r="B23" s="308"/>
      <c r="C23" s="684"/>
      <c r="D23" s="685"/>
      <c r="E23" s="685"/>
      <c r="F23" s="686"/>
      <c r="G23" s="684"/>
      <c r="H23" s="685"/>
      <c r="I23" s="685"/>
      <c r="J23" s="686"/>
      <c r="K23" s="684"/>
      <c r="L23" s="685"/>
      <c r="M23" s="685"/>
      <c r="N23" s="686"/>
      <c r="O23" s="684"/>
      <c r="P23" s="685"/>
      <c r="Q23" s="685"/>
      <c r="R23" s="686"/>
      <c r="S23" s="310"/>
    </row>
    <row r="24" spans="2:19" ht="20.100000000000001" customHeight="1">
      <c r="B24" s="308"/>
      <c r="C24" s="684"/>
      <c r="D24" s="685"/>
      <c r="E24" s="685"/>
      <c r="F24" s="686"/>
      <c r="G24" s="684"/>
      <c r="H24" s="685"/>
      <c r="I24" s="685"/>
      <c r="J24" s="686"/>
      <c r="K24" s="684"/>
      <c r="L24" s="685"/>
      <c r="M24" s="685"/>
      <c r="N24" s="686"/>
      <c r="O24" s="684"/>
      <c r="P24" s="685"/>
      <c r="Q24" s="685"/>
      <c r="R24" s="686"/>
      <c r="S24" s="310"/>
    </row>
    <row r="25" spans="2:19" ht="20.100000000000001" customHeight="1">
      <c r="B25" s="308"/>
      <c r="C25" s="684"/>
      <c r="D25" s="685"/>
      <c r="E25" s="685"/>
      <c r="F25" s="686"/>
      <c r="G25" s="684"/>
      <c r="H25" s="685"/>
      <c r="I25" s="685"/>
      <c r="J25" s="686"/>
      <c r="K25" s="684"/>
      <c r="L25" s="685"/>
      <c r="M25" s="685"/>
      <c r="N25" s="686"/>
      <c r="O25" s="684"/>
      <c r="P25" s="685"/>
      <c r="Q25" s="685"/>
      <c r="R25" s="686"/>
      <c r="S25" s="310"/>
    </row>
    <row r="26" spans="2:19" ht="20.100000000000001" customHeight="1">
      <c r="B26" s="308"/>
      <c r="C26" s="684"/>
      <c r="D26" s="685"/>
      <c r="E26" s="685"/>
      <c r="F26" s="686"/>
      <c r="G26" s="684"/>
      <c r="H26" s="685"/>
      <c r="I26" s="685"/>
      <c r="J26" s="686"/>
      <c r="K26" s="684"/>
      <c r="L26" s="685"/>
      <c r="M26" s="685"/>
      <c r="N26" s="686"/>
      <c r="O26" s="684"/>
      <c r="P26" s="685"/>
      <c r="Q26" s="685"/>
      <c r="R26" s="686"/>
      <c r="S26" s="310"/>
    </row>
    <row r="27" spans="2:19" ht="20.100000000000001" customHeight="1">
      <c r="B27" s="308"/>
      <c r="C27" s="684"/>
      <c r="D27" s="685"/>
      <c r="E27" s="685"/>
      <c r="F27" s="686"/>
      <c r="G27" s="684"/>
      <c r="H27" s="685"/>
      <c r="I27" s="685"/>
      <c r="J27" s="686"/>
      <c r="K27" s="684"/>
      <c r="L27" s="685"/>
      <c r="M27" s="685"/>
      <c r="N27" s="686"/>
      <c r="O27" s="684"/>
      <c r="P27" s="685"/>
      <c r="Q27" s="685"/>
      <c r="R27" s="686"/>
      <c r="S27" s="310"/>
    </row>
    <row r="28" spans="2:19" ht="20.100000000000001" customHeight="1">
      <c r="B28" s="308"/>
      <c r="C28" s="684"/>
      <c r="D28" s="685"/>
      <c r="E28" s="685"/>
      <c r="F28" s="686"/>
      <c r="G28" s="684"/>
      <c r="H28" s="685"/>
      <c r="I28" s="685"/>
      <c r="J28" s="686"/>
      <c r="K28" s="684"/>
      <c r="L28" s="685"/>
      <c r="M28" s="685"/>
      <c r="N28" s="686"/>
      <c r="O28" s="684"/>
      <c r="P28" s="685"/>
      <c r="Q28" s="685"/>
      <c r="R28" s="686"/>
      <c r="S28" s="310"/>
    </row>
    <row r="29" spans="2:19" ht="20.100000000000001" customHeight="1">
      <c r="B29" s="308"/>
      <c r="C29" s="684"/>
      <c r="D29" s="685"/>
      <c r="E29" s="685"/>
      <c r="F29" s="686"/>
      <c r="G29" s="684"/>
      <c r="H29" s="685"/>
      <c r="I29" s="685"/>
      <c r="J29" s="686"/>
      <c r="K29" s="684"/>
      <c r="L29" s="685"/>
      <c r="M29" s="685"/>
      <c r="N29" s="686"/>
      <c r="O29" s="684"/>
      <c r="P29" s="685"/>
      <c r="Q29" s="685"/>
      <c r="R29" s="686"/>
      <c r="S29" s="310"/>
    </row>
    <row r="30" spans="2:19" ht="9.9499999999999993" customHeight="1">
      <c r="B30" s="311"/>
      <c r="C30" s="309"/>
      <c r="D30" s="309"/>
      <c r="E30" s="309"/>
      <c r="F30" s="309"/>
      <c r="G30" s="309"/>
      <c r="H30" s="309"/>
      <c r="I30" s="309"/>
      <c r="J30" s="309"/>
      <c r="K30" s="309"/>
      <c r="L30" s="309"/>
      <c r="M30" s="309"/>
      <c r="N30" s="309"/>
      <c r="O30" s="309"/>
      <c r="P30" s="309"/>
      <c r="Q30" s="309"/>
      <c r="R30" s="309"/>
      <c r="S30" s="312"/>
    </row>
  </sheetData>
  <mergeCells count="63">
    <mergeCell ref="K20:N20"/>
    <mergeCell ref="K21:N21"/>
    <mergeCell ref="C20:F20"/>
    <mergeCell ref="C21:F21"/>
    <mergeCell ref="G20:J20"/>
    <mergeCell ref="G21:J21"/>
    <mergeCell ref="C9:C10"/>
    <mergeCell ref="D9:E10"/>
    <mergeCell ref="F9:I10"/>
    <mergeCell ref="J10:K10"/>
    <mergeCell ref="D15:E15"/>
    <mergeCell ref="F15:I15"/>
    <mergeCell ref="J14:K14"/>
    <mergeCell ref="F11:I11"/>
    <mergeCell ref="F12:I12"/>
    <mergeCell ref="F13:I13"/>
    <mergeCell ref="F14:I14"/>
    <mergeCell ref="D11:E11"/>
    <mergeCell ref="D12:E12"/>
    <mergeCell ref="D16:E16"/>
    <mergeCell ref="F16:I16"/>
    <mergeCell ref="D17:E17"/>
    <mergeCell ref="J15:K15"/>
    <mergeCell ref="L15:M15"/>
    <mergeCell ref="F17:I17"/>
    <mergeCell ref="J18:K18"/>
    <mergeCell ref="L18:M18"/>
    <mergeCell ref="N18:O18"/>
    <mergeCell ref="P18:R18"/>
    <mergeCell ref="J17:K17"/>
    <mergeCell ref="L17:M17"/>
    <mergeCell ref="S9:S18"/>
    <mergeCell ref="J11:K11"/>
    <mergeCell ref="L11:M11"/>
    <mergeCell ref="B4:S4"/>
    <mergeCell ref="B8:S8"/>
    <mergeCell ref="B9:B18"/>
    <mergeCell ref="J9:K9"/>
    <mergeCell ref="L9:M9"/>
    <mergeCell ref="N9:O9"/>
    <mergeCell ref="L14:M14"/>
    <mergeCell ref="J12:K12"/>
    <mergeCell ref="L12:M12"/>
    <mergeCell ref="J13:K13"/>
    <mergeCell ref="L13:M13"/>
    <mergeCell ref="L10:M10"/>
    <mergeCell ref="D13:E13"/>
    <mergeCell ref="E6:H6"/>
    <mergeCell ref="J6:L6"/>
    <mergeCell ref="N6:P6"/>
    <mergeCell ref="C22:F29"/>
    <mergeCell ref="G22:J29"/>
    <mergeCell ref="K22:N29"/>
    <mergeCell ref="O22:R29"/>
    <mergeCell ref="O20:R20"/>
    <mergeCell ref="O21:R21"/>
    <mergeCell ref="P9:R9"/>
    <mergeCell ref="D14:E14"/>
    <mergeCell ref="B19:S19"/>
    <mergeCell ref="J16:K16"/>
    <mergeCell ref="L16:M16"/>
    <mergeCell ref="E18:F18"/>
    <mergeCell ref="G18:I18"/>
  </mergeCells>
  <pageMargins left="0.7" right="0.7" top="0.78740157499999996" bottom="0.78740157499999996" header="0.3" footer="0.3"/>
  <pageSetup paperSize="9"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95DD-CC1B-4997-9D47-579A20EB67D5}">
  <dimension ref="A1:Q21"/>
  <sheetViews>
    <sheetView showGridLines="0" showRowColHeaders="0" zoomScale="90" zoomScaleNormal="90" workbookViewId="0"/>
  </sheetViews>
  <sheetFormatPr defaultColWidth="10.85546875" defaultRowHeight="14.25"/>
  <cols>
    <col min="1" max="1" width="1" style="1" customWidth="1"/>
    <col min="2" max="2" width="6.5703125" style="1" customWidth="1"/>
    <col min="3" max="4" width="10.5703125" style="1" customWidth="1"/>
    <col min="5" max="5" width="14.140625" style="1" customWidth="1"/>
    <col min="6" max="7" width="10.5703125" style="1" customWidth="1"/>
    <col min="8" max="9" width="12.5703125" style="1" customWidth="1"/>
    <col min="10" max="13" width="11.5703125" style="1" customWidth="1"/>
    <col min="14" max="16" width="10.5703125" style="1" customWidth="1"/>
    <col min="17" max="17" width="1.5703125" style="1" customWidth="1"/>
    <col min="18" max="16384" width="10.85546875" style="8"/>
  </cols>
  <sheetData>
    <row r="1" spans="1:17" ht="6" customHeight="1"/>
    <row r="2" spans="1:17" ht="18">
      <c r="B2" s="421" t="s">
        <v>31</v>
      </c>
      <c r="H2" s="3"/>
      <c r="I2" s="3"/>
      <c r="J2" s="3"/>
      <c r="K2" s="3"/>
      <c r="L2" s="3"/>
      <c r="M2" s="3"/>
      <c r="N2" s="3"/>
      <c r="O2" s="3"/>
      <c r="P2" s="3"/>
      <c r="Q2" s="3"/>
    </row>
    <row r="3" spans="1:17" ht="18.95" customHeight="1">
      <c r="A3" s="422"/>
      <c r="B3" s="422" t="s">
        <v>399</v>
      </c>
      <c r="C3" s="422"/>
      <c r="D3" s="422"/>
      <c r="E3" s="422"/>
      <c r="F3" s="422"/>
      <c r="G3" s="422"/>
      <c r="H3" s="422"/>
      <c r="I3" s="422"/>
      <c r="J3" s="422"/>
      <c r="K3" s="422"/>
      <c r="L3" s="422"/>
      <c r="M3" s="422"/>
      <c r="N3" s="422"/>
      <c r="O3" s="422"/>
      <c r="P3" s="422"/>
      <c r="Q3" s="422"/>
    </row>
    <row r="4" spans="1:17" ht="20.45" customHeight="1">
      <c r="A4" s="422"/>
      <c r="B4" s="706" t="s">
        <v>400</v>
      </c>
      <c r="C4" s="707"/>
      <c r="D4" s="707"/>
      <c r="E4" s="707"/>
      <c r="F4" s="707"/>
      <c r="G4" s="707"/>
      <c r="H4" s="707"/>
      <c r="I4" s="707"/>
      <c r="J4" s="707"/>
      <c r="K4" s="707"/>
      <c r="L4" s="707"/>
      <c r="M4" s="707"/>
      <c r="N4" s="707"/>
      <c r="O4" s="707"/>
      <c r="P4" s="707"/>
      <c r="Q4" s="708"/>
    </row>
    <row r="5" spans="1:17" ht="8.1" customHeight="1">
      <c r="B5" s="26"/>
      <c r="C5" s="13"/>
      <c r="D5" s="13"/>
      <c r="E5" s="13"/>
      <c r="F5" s="13"/>
      <c r="G5" s="13"/>
      <c r="H5" s="13"/>
      <c r="I5" s="13"/>
      <c r="J5" s="13"/>
      <c r="K5" s="13"/>
      <c r="L5" s="13"/>
      <c r="M5" s="13"/>
      <c r="N5" s="13"/>
      <c r="O5" s="13"/>
      <c r="P5" s="13"/>
      <c r="Q5" s="15"/>
    </row>
    <row r="6" spans="1:17" ht="18" customHeight="1">
      <c r="A6" s="422"/>
      <c r="B6" s="418"/>
      <c r="C6" s="419" t="s">
        <v>343</v>
      </c>
      <c r="D6" s="662"/>
      <c r="E6" s="710"/>
      <c r="F6" s="710"/>
      <c r="G6" s="419" t="s">
        <v>374</v>
      </c>
      <c r="H6" s="662"/>
      <c r="I6" s="710"/>
      <c r="J6" s="710"/>
      <c r="K6" s="419" t="s">
        <v>375</v>
      </c>
      <c r="L6" s="680"/>
      <c r="M6" s="710"/>
      <c r="N6" s="710"/>
      <c r="O6" s="419" t="s">
        <v>376</v>
      </c>
      <c r="P6" s="314"/>
      <c r="Q6" s="290"/>
    </row>
    <row r="7" spans="1:17" ht="6" customHeight="1">
      <c r="B7" s="28"/>
      <c r="C7" s="20"/>
      <c r="D7" s="20"/>
      <c r="E7" s="20"/>
      <c r="F7" s="20"/>
      <c r="G7" s="20"/>
      <c r="H7" s="20"/>
      <c r="I7" s="20"/>
      <c r="J7" s="20"/>
      <c r="K7" s="20"/>
      <c r="L7" s="20"/>
      <c r="M7" s="20"/>
      <c r="N7" s="20"/>
      <c r="O7" s="20"/>
      <c r="P7" s="20"/>
      <c r="Q7" s="22"/>
    </row>
    <row r="8" spans="1:17" ht="20.100000000000001" customHeight="1">
      <c r="B8" s="711" t="s">
        <v>401</v>
      </c>
      <c r="C8" s="712"/>
      <c r="D8" s="712"/>
      <c r="E8" s="712"/>
      <c r="F8" s="712"/>
      <c r="G8" s="712"/>
      <c r="H8" s="712"/>
      <c r="I8" s="712"/>
      <c r="J8" s="712"/>
      <c r="K8" s="712"/>
      <c r="L8" s="712"/>
      <c r="M8" s="712"/>
      <c r="N8" s="712"/>
      <c r="O8" s="712"/>
      <c r="P8" s="712"/>
      <c r="Q8" s="713"/>
    </row>
    <row r="9" spans="1:17" ht="14.1" customHeight="1">
      <c r="B9" s="429" t="s">
        <v>5</v>
      </c>
      <c r="C9" s="697" t="s">
        <v>402</v>
      </c>
      <c r="D9" s="709"/>
      <c r="E9" s="709"/>
      <c r="F9" s="709"/>
      <c r="G9" s="453"/>
      <c r="H9" s="697" t="s">
        <v>403</v>
      </c>
      <c r="I9" s="453"/>
      <c r="J9" s="697" t="s">
        <v>404</v>
      </c>
      <c r="K9" s="453"/>
      <c r="L9" s="460" t="s">
        <v>405</v>
      </c>
      <c r="M9" s="611"/>
      <c r="N9" s="460" t="s">
        <v>382</v>
      </c>
      <c r="O9" s="610"/>
      <c r="P9" s="611"/>
      <c r="Q9" s="435"/>
    </row>
    <row r="10" spans="1:17" ht="14.1" customHeight="1">
      <c r="B10" s="430"/>
      <c r="C10" s="432"/>
      <c r="D10" s="211"/>
      <c r="E10" s="211"/>
      <c r="F10" s="211"/>
      <c r="G10" s="400"/>
      <c r="H10" s="698" t="s">
        <v>406</v>
      </c>
      <c r="I10" s="602"/>
      <c r="J10" s="698" t="s">
        <v>407</v>
      </c>
      <c r="K10" s="602"/>
      <c r="L10" s="425" t="s">
        <v>385</v>
      </c>
      <c r="M10" s="425" t="s">
        <v>386</v>
      </c>
      <c r="N10" s="10" t="s">
        <v>387</v>
      </c>
      <c r="O10" s="10" t="s">
        <v>388</v>
      </c>
      <c r="P10" s="10" t="s">
        <v>389</v>
      </c>
      <c r="Q10" s="435"/>
    </row>
    <row r="11" spans="1:17" ht="20.100000000000001" customHeight="1">
      <c r="B11" s="426">
        <v>1</v>
      </c>
      <c r="C11" s="694"/>
      <c r="D11" s="606"/>
      <c r="E11" s="606"/>
      <c r="F11" s="606"/>
      <c r="G11" s="529"/>
      <c r="H11" s="694"/>
      <c r="I11" s="529"/>
      <c r="J11" s="694"/>
      <c r="K11" s="529"/>
      <c r="L11" s="315"/>
      <c r="M11" s="316"/>
      <c r="N11" s="313"/>
      <c r="O11" s="120"/>
      <c r="P11" s="120"/>
      <c r="Q11" s="435"/>
    </row>
    <row r="12" spans="1:17" ht="20.100000000000001" customHeight="1">
      <c r="B12" s="426">
        <v>2</v>
      </c>
      <c r="C12" s="694"/>
      <c r="D12" s="606"/>
      <c r="E12" s="606"/>
      <c r="F12" s="606"/>
      <c r="G12" s="529"/>
      <c r="H12" s="694"/>
      <c r="I12" s="529"/>
      <c r="J12" s="694"/>
      <c r="K12" s="529"/>
      <c r="L12" s="315"/>
      <c r="M12" s="316"/>
      <c r="N12" s="120"/>
      <c r="O12" s="120"/>
      <c r="P12" s="120"/>
      <c r="Q12" s="435"/>
    </row>
    <row r="13" spans="1:17" ht="20.100000000000001" customHeight="1">
      <c r="B13" s="426">
        <v>3</v>
      </c>
      <c r="C13" s="694"/>
      <c r="D13" s="606"/>
      <c r="E13" s="606"/>
      <c r="F13" s="606"/>
      <c r="G13" s="529"/>
      <c r="H13" s="694"/>
      <c r="I13" s="529"/>
      <c r="J13" s="694"/>
      <c r="K13" s="529"/>
      <c r="L13" s="315"/>
      <c r="M13" s="316"/>
      <c r="N13" s="120"/>
      <c r="O13" s="120"/>
      <c r="P13" s="120"/>
      <c r="Q13" s="435"/>
    </row>
    <row r="14" spans="1:17" ht="20.100000000000001" customHeight="1">
      <c r="B14" s="426">
        <v>4</v>
      </c>
      <c r="C14" s="694"/>
      <c r="D14" s="606"/>
      <c r="E14" s="606"/>
      <c r="F14" s="606"/>
      <c r="G14" s="529"/>
      <c r="H14" s="694"/>
      <c r="I14" s="529"/>
      <c r="J14" s="694"/>
      <c r="K14" s="529"/>
      <c r="L14" s="315"/>
      <c r="M14" s="316"/>
      <c r="N14" s="120"/>
      <c r="O14" s="120"/>
      <c r="P14" s="120"/>
      <c r="Q14" s="435"/>
    </row>
    <row r="15" spans="1:17" ht="20.100000000000001" customHeight="1">
      <c r="B15" s="426">
        <v>5</v>
      </c>
      <c r="C15" s="694"/>
      <c r="D15" s="606"/>
      <c r="E15" s="606"/>
      <c r="F15" s="606"/>
      <c r="G15" s="529"/>
      <c r="H15" s="694"/>
      <c r="I15" s="529"/>
      <c r="J15" s="694"/>
      <c r="K15" s="529"/>
      <c r="L15" s="315"/>
      <c r="M15" s="316"/>
      <c r="N15" s="120"/>
      <c r="O15" s="120"/>
      <c r="P15" s="120"/>
      <c r="Q15" s="435"/>
    </row>
    <row r="16" spans="1:17" ht="20.100000000000001" customHeight="1">
      <c r="B16" s="426">
        <v>6</v>
      </c>
      <c r="C16" s="694"/>
      <c r="D16" s="606"/>
      <c r="E16" s="606"/>
      <c r="F16" s="606"/>
      <c r="G16" s="529"/>
      <c r="H16" s="694"/>
      <c r="I16" s="529"/>
      <c r="J16" s="694"/>
      <c r="K16" s="529"/>
      <c r="L16" s="315"/>
      <c r="M16" s="316"/>
      <c r="N16" s="120"/>
      <c r="O16" s="120"/>
      <c r="P16" s="120"/>
      <c r="Q16" s="435"/>
    </row>
    <row r="17" spans="2:17" ht="20.100000000000001" customHeight="1">
      <c r="B17" s="426">
        <v>7</v>
      </c>
      <c r="C17" s="694"/>
      <c r="D17" s="606"/>
      <c r="E17" s="606"/>
      <c r="F17" s="606"/>
      <c r="G17" s="529"/>
      <c r="H17" s="694"/>
      <c r="I17" s="529"/>
      <c r="J17" s="694"/>
      <c r="K17" s="529"/>
      <c r="L17" s="315"/>
      <c r="M17" s="316"/>
      <c r="N17" s="120"/>
      <c r="O17" s="120"/>
      <c r="P17" s="120"/>
      <c r="Q17" s="435"/>
    </row>
    <row r="18" spans="2:17" ht="20.100000000000001" customHeight="1">
      <c r="B18" s="426">
        <v>8</v>
      </c>
      <c r="C18" s="694"/>
      <c r="D18" s="606"/>
      <c r="E18" s="606"/>
      <c r="F18" s="606"/>
      <c r="G18" s="529"/>
      <c r="H18" s="694"/>
      <c r="I18" s="529"/>
      <c r="J18" s="694"/>
      <c r="K18" s="529"/>
      <c r="L18" s="315"/>
      <c r="M18" s="316"/>
      <c r="N18" s="120"/>
      <c r="O18" s="120"/>
      <c r="P18" s="120"/>
      <c r="Q18" s="435"/>
    </row>
    <row r="19" spans="2:17" ht="20.100000000000001" customHeight="1">
      <c r="B19" s="426">
        <v>9</v>
      </c>
      <c r="C19" s="694"/>
      <c r="D19" s="606"/>
      <c r="E19" s="606"/>
      <c r="F19" s="606"/>
      <c r="G19" s="529"/>
      <c r="H19" s="694"/>
      <c r="I19" s="529"/>
      <c r="J19" s="694"/>
      <c r="K19" s="529"/>
      <c r="L19" s="315"/>
      <c r="M19" s="316"/>
      <c r="N19" s="120"/>
      <c r="O19" s="120"/>
      <c r="P19" s="120"/>
      <c r="Q19" s="435"/>
    </row>
    <row r="20" spans="2:17" ht="20.100000000000001" customHeight="1">
      <c r="B20" s="426">
        <v>10</v>
      </c>
      <c r="C20" s="694"/>
      <c r="D20" s="606"/>
      <c r="E20" s="606"/>
      <c r="F20" s="606"/>
      <c r="G20" s="529"/>
      <c r="H20" s="694"/>
      <c r="I20" s="529"/>
      <c r="J20" s="694"/>
      <c r="K20" s="529"/>
      <c r="L20" s="315"/>
      <c r="M20" s="316"/>
      <c r="N20" s="120"/>
      <c r="O20" s="120"/>
      <c r="P20" s="120"/>
      <c r="Q20" s="435"/>
    </row>
    <row r="21" spans="2:17" ht="9.9499999999999993" customHeight="1">
      <c r="B21" s="319"/>
      <c r="C21" s="307"/>
      <c r="D21" s="307"/>
      <c r="E21" s="307"/>
      <c r="F21" s="307"/>
      <c r="G21" s="433"/>
      <c r="H21" s="401"/>
      <c r="I21" s="401"/>
      <c r="J21" s="401"/>
      <c r="K21" s="401"/>
      <c r="L21" s="401"/>
      <c r="M21" s="401"/>
      <c r="N21" s="402"/>
      <c r="O21" s="402"/>
      <c r="P21" s="402"/>
      <c r="Q21" s="403"/>
    </row>
  </sheetData>
  <mergeCells count="42">
    <mergeCell ref="C19:G19"/>
    <mergeCell ref="H19:I19"/>
    <mergeCell ref="J19:K19"/>
    <mergeCell ref="C20:G20"/>
    <mergeCell ref="H20:I20"/>
    <mergeCell ref="J20:K20"/>
    <mergeCell ref="C17:G17"/>
    <mergeCell ref="H17:I17"/>
    <mergeCell ref="J17:K17"/>
    <mergeCell ref="C18:G18"/>
    <mergeCell ref="H18:I18"/>
    <mergeCell ref="J18:K18"/>
    <mergeCell ref="C14:G14"/>
    <mergeCell ref="H14:I14"/>
    <mergeCell ref="J14:K14"/>
    <mergeCell ref="C16:G16"/>
    <mergeCell ref="H16:I16"/>
    <mergeCell ref="J16:K16"/>
    <mergeCell ref="C15:G15"/>
    <mergeCell ref="H15:I15"/>
    <mergeCell ref="J15:K15"/>
    <mergeCell ref="C12:G12"/>
    <mergeCell ref="H12:I12"/>
    <mergeCell ref="J12:K12"/>
    <mergeCell ref="C13:G13"/>
    <mergeCell ref="H13:I13"/>
    <mergeCell ref="J13:K13"/>
    <mergeCell ref="H10:I10"/>
    <mergeCell ref="J10:K10"/>
    <mergeCell ref="C11:G11"/>
    <mergeCell ref="H11:I11"/>
    <mergeCell ref="J11:K11"/>
    <mergeCell ref="B4:Q4"/>
    <mergeCell ref="C9:G9"/>
    <mergeCell ref="D6:F6"/>
    <mergeCell ref="H6:J6"/>
    <mergeCell ref="L6:N6"/>
    <mergeCell ref="B8:Q8"/>
    <mergeCell ref="H9:I9"/>
    <mergeCell ref="J9:K9"/>
    <mergeCell ref="L9:M9"/>
    <mergeCell ref="N9:P9"/>
  </mergeCells>
  <pageMargins left="0.7" right="0.7" top="0.78740157499999996" bottom="0.78740157499999996"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0F5E-607B-4CE1-8C7F-66673476EC29}">
  <dimension ref="A1:W30"/>
  <sheetViews>
    <sheetView showGridLines="0" showRowColHeaders="0" zoomScale="80" zoomScaleNormal="80" workbookViewId="0"/>
  </sheetViews>
  <sheetFormatPr defaultColWidth="10.85546875" defaultRowHeight="14.25"/>
  <cols>
    <col min="1" max="1" width="1" style="1" customWidth="1"/>
    <col min="2" max="2" width="1.85546875" style="1" customWidth="1"/>
    <col min="3" max="3" width="5.5703125" style="1" customWidth="1"/>
    <col min="4" max="5" width="11.5703125" style="1" customWidth="1"/>
    <col min="6" max="6" width="5.5703125" style="1" customWidth="1"/>
    <col min="7" max="7" width="7.5703125" style="1" customWidth="1"/>
    <col min="8" max="9" width="11.5703125" style="1" customWidth="1"/>
    <col min="10" max="11" width="7.5703125" style="1" customWidth="1"/>
    <col min="12" max="13" width="11.5703125" style="1" customWidth="1"/>
    <col min="14" max="15" width="7.5703125" style="1" customWidth="1"/>
    <col min="16" max="17" width="11.5703125" style="1" customWidth="1"/>
    <col min="18" max="19" width="7.5703125" style="1" customWidth="1"/>
    <col min="20" max="22" width="10.5703125" style="1" customWidth="1"/>
    <col min="23" max="23" width="1.5703125" style="1" customWidth="1"/>
    <col min="24" max="16384" width="10.85546875" style="8"/>
  </cols>
  <sheetData>
    <row r="1" spans="1:23" ht="6" customHeight="1"/>
    <row r="2" spans="1:23" ht="18">
      <c r="B2" s="421" t="s">
        <v>33</v>
      </c>
      <c r="F2" s="3"/>
      <c r="G2" s="3"/>
      <c r="H2" s="3"/>
      <c r="I2" s="3"/>
      <c r="J2" s="3"/>
      <c r="K2" s="3"/>
      <c r="L2" s="3"/>
      <c r="M2" s="3"/>
      <c r="N2" s="3"/>
      <c r="O2" s="3"/>
      <c r="P2" s="3"/>
      <c r="Q2" s="3"/>
      <c r="R2" s="3"/>
      <c r="S2" s="3"/>
      <c r="T2" s="3"/>
      <c r="U2" s="3"/>
      <c r="V2" s="3"/>
      <c r="W2" s="3"/>
    </row>
    <row r="3" spans="1:23" ht="18.95" customHeight="1">
      <c r="A3" s="422"/>
      <c r="B3" s="422" t="s">
        <v>408</v>
      </c>
      <c r="C3" s="422"/>
      <c r="D3" s="422"/>
      <c r="E3" s="422"/>
      <c r="F3" s="422"/>
      <c r="G3" s="422"/>
      <c r="H3" s="422"/>
      <c r="I3" s="422"/>
      <c r="J3" s="422"/>
      <c r="K3" s="422"/>
      <c r="L3" s="422"/>
      <c r="M3" s="422"/>
      <c r="N3" s="422"/>
      <c r="O3" s="422"/>
      <c r="P3" s="422"/>
      <c r="Q3" s="422"/>
      <c r="R3" s="422"/>
      <c r="S3" s="422"/>
      <c r="T3" s="422"/>
      <c r="U3" s="422"/>
      <c r="V3" s="422"/>
      <c r="W3" s="422"/>
    </row>
    <row r="4" spans="1:23" ht="20.45" customHeight="1">
      <c r="A4" s="422"/>
      <c r="B4" s="516" t="s">
        <v>409</v>
      </c>
      <c r="C4" s="517"/>
      <c r="D4" s="517"/>
      <c r="E4" s="517"/>
      <c r="F4" s="517"/>
      <c r="G4" s="517"/>
      <c r="H4" s="517"/>
      <c r="I4" s="517"/>
      <c r="J4" s="517"/>
      <c r="K4" s="517"/>
      <c r="L4" s="517"/>
      <c r="M4" s="517"/>
      <c r="N4" s="517"/>
      <c r="O4" s="517"/>
      <c r="P4" s="517"/>
      <c r="Q4" s="517"/>
      <c r="R4" s="517"/>
      <c r="S4" s="517"/>
      <c r="T4" s="517"/>
      <c r="U4" s="517"/>
      <c r="V4" s="517"/>
      <c r="W4" s="518"/>
    </row>
    <row r="5" spans="1:23" ht="8.1" customHeight="1">
      <c r="B5" s="12"/>
      <c r="C5" s="13"/>
      <c r="D5" s="13"/>
      <c r="E5" s="13"/>
      <c r="F5" s="13"/>
      <c r="G5" s="13"/>
      <c r="H5" s="13"/>
      <c r="I5" s="13"/>
      <c r="J5" s="13"/>
      <c r="K5" s="13"/>
      <c r="L5" s="13"/>
      <c r="M5" s="13"/>
      <c r="N5" s="13"/>
      <c r="O5" s="13"/>
      <c r="P5" s="13"/>
      <c r="Q5" s="13"/>
      <c r="R5" s="13"/>
      <c r="S5" s="13"/>
      <c r="T5" s="13"/>
      <c r="U5" s="13"/>
      <c r="V5" s="13"/>
      <c r="W5" s="15"/>
    </row>
    <row r="6" spans="1:23" ht="18" customHeight="1">
      <c r="A6" s="422"/>
      <c r="B6" s="16"/>
      <c r="C6" s="419"/>
      <c r="D6" s="419" t="s">
        <v>343</v>
      </c>
      <c r="E6" s="662"/>
      <c r="F6" s="663"/>
      <c r="G6" s="663"/>
      <c r="H6" s="663"/>
      <c r="I6" s="419" t="s">
        <v>374</v>
      </c>
      <c r="J6" s="662"/>
      <c r="K6" s="663"/>
      <c r="L6" s="663"/>
      <c r="M6" s="455"/>
      <c r="N6" s="337"/>
      <c r="O6" s="337"/>
      <c r="P6" s="419" t="s">
        <v>410</v>
      </c>
      <c r="Q6" s="680"/>
      <c r="R6" s="710"/>
      <c r="S6" s="710"/>
      <c r="T6" s="710"/>
      <c r="U6" s="419" t="s">
        <v>376</v>
      </c>
      <c r="V6" s="314"/>
      <c r="W6" s="290"/>
    </row>
    <row r="7" spans="1:23" ht="6" customHeight="1">
      <c r="B7" s="19"/>
      <c r="C7" s="20"/>
      <c r="D7" s="20"/>
      <c r="E7" s="20"/>
      <c r="F7" s="20"/>
      <c r="G7" s="20"/>
      <c r="H7" s="20"/>
      <c r="I7" s="20"/>
      <c r="J7" s="20"/>
      <c r="K7" s="20"/>
      <c r="L7" s="20"/>
      <c r="M7" s="20"/>
      <c r="N7" s="20"/>
      <c r="O7" s="20"/>
      <c r="P7" s="20"/>
      <c r="Q7" s="20"/>
      <c r="R7" s="20"/>
      <c r="S7" s="20"/>
      <c r="T7" s="20"/>
      <c r="U7" s="20"/>
      <c r="V7" s="20"/>
      <c r="W7" s="22"/>
    </row>
    <row r="8" spans="1:23" ht="20.100000000000001" customHeight="1">
      <c r="B8" s="640" t="s">
        <v>411</v>
      </c>
      <c r="C8" s="642"/>
      <c r="D8" s="642"/>
      <c r="E8" s="642"/>
      <c r="F8" s="642"/>
      <c r="G8" s="642"/>
      <c r="H8" s="642"/>
      <c r="I8" s="642"/>
      <c r="J8" s="642"/>
      <c r="K8" s="642"/>
      <c r="L8" s="642"/>
      <c r="M8" s="642"/>
      <c r="N8" s="642"/>
      <c r="O8" s="642"/>
      <c r="P8" s="642"/>
      <c r="Q8" s="642"/>
      <c r="R8" s="642"/>
      <c r="S8" s="642"/>
      <c r="T8" s="642"/>
      <c r="U8" s="642"/>
      <c r="V8" s="642"/>
      <c r="W8" s="643"/>
    </row>
    <row r="9" spans="1:23" ht="18" customHeight="1">
      <c r="B9" s="714"/>
      <c r="C9" s="715" t="s">
        <v>412</v>
      </c>
      <c r="D9" s="716"/>
      <c r="E9" s="716"/>
      <c r="F9" s="716"/>
      <c r="G9" s="715" t="s">
        <v>413</v>
      </c>
      <c r="H9" s="716"/>
      <c r="I9" s="716"/>
      <c r="J9" s="716"/>
      <c r="K9" s="715" t="s">
        <v>414</v>
      </c>
      <c r="L9" s="716"/>
      <c r="M9" s="716"/>
      <c r="N9" s="716"/>
      <c r="O9" s="715" t="s">
        <v>415</v>
      </c>
      <c r="P9" s="716"/>
      <c r="Q9" s="716"/>
      <c r="R9" s="716"/>
      <c r="S9" s="715" t="s">
        <v>416</v>
      </c>
      <c r="T9" s="716"/>
      <c r="U9" s="716"/>
      <c r="V9" s="716"/>
      <c r="W9" s="717"/>
    </row>
    <row r="10" spans="1:23" ht="15" customHeight="1">
      <c r="B10" s="714"/>
      <c r="C10" s="325"/>
      <c r="D10" s="322"/>
      <c r="E10" s="322"/>
      <c r="F10" s="327"/>
      <c r="G10" s="333"/>
      <c r="H10" s="320"/>
      <c r="I10" s="320"/>
      <c r="J10" s="334"/>
      <c r="K10" s="333"/>
      <c r="L10" s="320"/>
      <c r="M10" s="320"/>
      <c r="N10" s="334"/>
      <c r="O10" s="333"/>
      <c r="P10" s="320"/>
      <c r="Q10" s="320"/>
      <c r="R10" s="334"/>
      <c r="S10" s="320"/>
      <c r="T10" s="320"/>
      <c r="U10" s="320"/>
      <c r="V10" s="334"/>
      <c r="W10" s="717"/>
    </row>
    <row r="11" spans="1:23" ht="15.95" customHeight="1">
      <c r="B11" s="714"/>
      <c r="C11" s="718" t="s">
        <v>417</v>
      </c>
      <c r="D11" s="719"/>
      <c r="E11" s="338"/>
      <c r="F11" s="326"/>
      <c r="G11" s="333"/>
      <c r="H11" s="350"/>
      <c r="I11" s="340"/>
      <c r="J11" s="341"/>
      <c r="K11" s="342"/>
      <c r="L11" s="340"/>
      <c r="M11" s="340"/>
      <c r="N11" s="341"/>
      <c r="O11" s="342"/>
      <c r="P11" s="340"/>
      <c r="Q11" s="340"/>
      <c r="R11" s="341"/>
      <c r="S11" s="340"/>
      <c r="T11" s="340"/>
      <c r="U11" s="340"/>
      <c r="V11" s="334"/>
      <c r="W11" s="717"/>
    </row>
    <row r="12" spans="1:23" ht="15.95" customHeight="1">
      <c r="B12" s="714"/>
      <c r="C12" s="325"/>
      <c r="D12" s="322"/>
      <c r="E12" s="320"/>
      <c r="F12" s="326"/>
      <c r="G12" s="333"/>
      <c r="H12" s="340"/>
      <c r="I12" s="350"/>
      <c r="J12" s="341"/>
      <c r="K12" s="342"/>
      <c r="L12" s="340"/>
      <c r="M12" s="340"/>
      <c r="N12" s="341"/>
      <c r="O12" s="342"/>
      <c r="P12" s="340"/>
      <c r="Q12" s="340"/>
      <c r="R12" s="341"/>
      <c r="S12" s="340"/>
      <c r="T12" s="340"/>
      <c r="U12" s="340"/>
      <c r="V12" s="334"/>
      <c r="W12" s="717"/>
    </row>
    <row r="13" spans="1:23" ht="15.95" customHeight="1">
      <c r="B13" s="714"/>
      <c r="C13" s="718" t="s">
        <v>418</v>
      </c>
      <c r="D13" s="719"/>
      <c r="E13" s="313"/>
      <c r="F13" s="326"/>
      <c r="G13" s="333"/>
      <c r="H13" s="340"/>
      <c r="I13" s="340"/>
      <c r="J13" s="341"/>
      <c r="K13" s="342"/>
      <c r="L13" s="340"/>
      <c r="M13" s="340"/>
      <c r="N13" s="341"/>
      <c r="O13" s="342"/>
      <c r="P13" s="340"/>
      <c r="Q13" s="340"/>
      <c r="R13" s="341"/>
      <c r="S13" s="340"/>
      <c r="T13" s="340"/>
      <c r="U13" s="340"/>
      <c r="V13" s="334"/>
      <c r="W13" s="717"/>
    </row>
    <row r="14" spans="1:23" ht="15.95" customHeight="1">
      <c r="B14" s="714"/>
      <c r="C14" s="325"/>
      <c r="D14" s="322"/>
      <c r="E14" s="320"/>
      <c r="F14" s="326"/>
      <c r="G14" s="333"/>
      <c r="H14" s="340"/>
      <c r="I14" s="340"/>
      <c r="J14" s="341"/>
      <c r="K14" s="342"/>
      <c r="L14" s="340"/>
      <c r="M14" s="340"/>
      <c r="N14" s="341"/>
      <c r="O14" s="342"/>
      <c r="P14" s="340"/>
      <c r="Q14" s="340"/>
      <c r="R14" s="341"/>
      <c r="S14" s="340"/>
      <c r="T14" s="340"/>
      <c r="U14" s="340"/>
      <c r="V14" s="334"/>
      <c r="W14" s="717"/>
    </row>
    <row r="15" spans="1:23" ht="15.95" customHeight="1">
      <c r="B15" s="696"/>
      <c r="C15" s="718" t="s">
        <v>419</v>
      </c>
      <c r="D15" s="531"/>
      <c r="E15" s="338"/>
      <c r="F15" s="326"/>
      <c r="G15" s="333"/>
      <c r="H15" s="340"/>
      <c r="I15" s="340"/>
      <c r="J15" s="346"/>
      <c r="K15" s="342"/>
      <c r="L15" s="340"/>
      <c r="M15" s="340"/>
      <c r="N15" s="346"/>
      <c r="O15" s="342"/>
      <c r="P15" s="340"/>
      <c r="Q15" s="340"/>
      <c r="R15" s="346"/>
      <c r="S15" s="347"/>
      <c r="T15" s="340"/>
      <c r="U15" s="340"/>
      <c r="V15" s="330"/>
      <c r="W15" s="693"/>
    </row>
    <row r="16" spans="1:23" ht="15.95" customHeight="1">
      <c r="B16" s="696"/>
      <c r="C16" s="325"/>
      <c r="D16" s="321"/>
      <c r="E16" s="321"/>
      <c r="F16" s="326"/>
      <c r="G16" s="333"/>
      <c r="H16" s="340"/>
      <c r="I16" s="340"/>
      <c r="J16" s="346"/>
      <c r="K16" s="342"/>
      <c r="L16" s="340"/>
      <c r="M16" s="340"/>
      <c r="N16" s="346"/>
      <c r="O16" s="342"/>
      <c r="P16" s="340"/>
      <c r="Q16" s="340"/>
      <c r="R16" s="346"/>
      <c r="S16" s="347"/>
      <c r="T16" s="340"/>
      <c r="U16" s="340"/>
      <c r="V16" s="330"/>
      <c r="W16" s="693"/>
    </row>
    <row r="17" spans="2:23" ht="15.95" customHeight="1">
      <c r="B17" s="696"/>
      <c r="C17" s="718" t="s">
        <v>420</v>
      </c>
      <c r="D17" s="531"/>
      <c r="E17" s="338"/>
      <c r="F17" s="326"/>
      <c r="G17" s="333"/>
      <c r="H17" s="340"/>
      <c r="I17" s="340"/>
      <c r="J17" s="346"/>
      <c r="K17" s="342"/>
      <c r="L17" s="340"/>
      <c r="M17" s="340"/>
      <c r="N17" s="346"/>
      <c r="O17" s="342"/>
      <c r="P17" s="340"/>
      <c r="Q17" s="340"/>
      <c r="R17" s="346"/>
      <c r="S17" s="347"/>
      <c r="T17" s="340"/>
      <c r="U17" s="340"/>
      <c r="V17" s="330"/>
      <c r="W17" s="693"/>
    </row>
    <row r="18" spans="2:23" ht="15.95" customHeight="1">
      <c r="B18" s="696"/>
      <c r="C18" s="325"/>
      <c r="D18" s="321"/>
      <c r="E18" s="321"/>
      <c r="F18" s="326"/>
      <c r="G18" s="333"/>
      <c r="H18" s="340"/>
      <c r="I18" s="340"/>
      <c r="J18" s="346"/>
      <c r="K18" s="342"/>
      <c r="L18" s="340"/>
      <c r="M18" s="340"/>
      <c r="N18" s="346"/>
      <c r="O18" s="342"/>
      <c r="P18" s="340"/>
      <c r="Q18" s="340"/>
      <c r="R18" s="346"/>
      <c r="S18" s="347"/>
      <c r="T18" s="340"/>
      <c r="U18" s="340"/>
      <c r="V18" s="330"/>
      <c r="W18" s="693"/>
    </row>
    <row r="19" spans="2:23" ht="15.95" customHeight="1">
      <c r="B19" s="696"/>
      <c r="C19" s="718" t="s">
        <v>421</v>
      </c>
      <c r="D19" s="531"/>
      <c r="E19" s="338"/>
      <c r="F19" s="326"/>
      <c r="G19" s="333"/>
      <c r="H19" s="340"/>
      <c r="I19" s="340"/>
      <c r="J19" s="346"/>
      <c r="K19" s="342"/>
      <c r="L19" s="340"/>
      <c r="M19" s="340"/>
      <c r="N19" s="346"/>
      <c r="O19" s="342"/>
      <c r="P19" s="340"/>
      <c r="Q19" s="340"/>
      <c r="R19" s="346"/>
      <c r="S19" s="347"/>
      <c r="T19" s="340"/>
      <c r="U19" s="340"/>
      <c r="V19" s="330"/>
      <c r="W19" s="693"/>
    </row>
    <row r="20" spans="2:23" ht="15" customHeight="1">
      <c r="B20" s="696"/>
      <c r="C20" s="720"/>
      <c r="D20" s="721"/>
      <c r="E20" s="328"/>
      <c r="F20" s="329"/>
      <c r="G20" s="335"/>
      <c r="H20" s="336" t="s">
        <v>422</v>
      </c>
      <c r="I20" s="336" t="s">
        <v>423</v>
      </c>
      <c r="J20" s="331"/>
      <c r="K20" s="335"/>
      <c r="L20" s="336" t="s">
        <v>422</v>
      </c>
      <c r="M20" s="336" t="s">
        <v>423</v>
      </c>
      <c r="N20" s="331"/>
      <c r="O20" s="335"/>
      <c r="P20" s="336" t="s">
        <v>422</v>
      </c>
      <c r="Q20" s="336" t="s">
        <v>423</v>
      </c>
      <c r="R20" s="331"/>
      <c r="S20" s="332"/>
      <c r="T20" s="336" t="s">
        <v>422</v>
      </c>
      <c r="U20" s="336" t="s">
        <v>423</v>
      </c>
      <c r="V20" s="331"/>
      <c r="W20" s="693"/>
    </row>
    <row r="21" spans="2:23" ht="9.9499999999999993" customHeight="1">
      <c r="B21" s="696"/>
      <c r="C21" s="323"/>
      <c r="D21" s="307"/>
      <c r="E21" s="433"/>
      <c r="F21" s="324"/>
      <c r="G21" s="433"/>
      <c r="H21" s="433"/>
      <c r="I21" s="324"/>
      <c r="J21" s="433"/>
      <c r="K21" s="324"/>
      <c r="L21" s="433"/>
      <c r="M21" s="324"/>
      <c r="N21" s="433"/>
      <c r="O21" s="433"/>
      <c r="P21" s="433"/>
      <c r="Q21" s="324"/>
      <c r="R21" s="324"/>
      <c r="S21" s="324"/>
      <c r="T21" s="434"/>
      <c r="U21" s="434"/>
      <c r="V21" s="434"/>
      <c r="W21" s="693"/>
    </row>
    <row r="22" spans="2:23" ht="20.100000000000001" customHeight="1">
      <c r="B22" s="640" t="s">
        <v>424</v>
      </c>
      <c r="C22" s="642"/>
      <c r="D22" s="642"/>
      <c r="E22" s="642"/>
      <c r="F22" s="642"/>
      <c r="G22" s="642"/>
      <c r="H22" s="642"/>
      <c r="I22" s="642"/>
      <c r="J22" s="642"/>
      <c r="K22" s="642"/>
      <c r="L22" s="642"/>
      <c r="M22" s="642"/>
      <c r="N22" s="642"/>
      <c r="O22" s="642"/>
      <c r="P22" s="642"/>
      <c r="Q22" s="642"/>
      <c r="R22" s="642"/>
      <c r="S22" s="642"/>
      <c r="T22" s="642"/>
      <c r="U22" s="642"/>
      <c r="V22" s="642"/>
      <c r="W22" s="643"/>
    </row>
    <row r="23" spans="2:23" ht="14.1" customHeight="1">
      <c r="B23" s="308"/>
      <c r="C23" s="687" t="s">
        <v>5</v>
      </c>
      <c r="D23" s="675" t="s">
        <v>425</v>
      </c>
      <c r="E23" s="675" t="s">
        <v>426</v>
      </c>
      <c r="F23" s="703" t="s">
        <v>427</v>
      </c>
      <c r="G23" s="709"/>
      <c r="H23" s="709"/>
      <c r="I23" s="709"/>
      <c r="J23" s="709"/>
      <c r="K23" s="709"/>
      <c r="L23" s="709"/>
      <c r="M23" s="453"/>
      <c r="N23" s="697" t="s">
        <v>380</v>
      </c>
      <c r="O23" s="709"/>
      <c r="P23" s="453"/>
      <c r="Q23" s="697" t="s">
        <v>428</v>
      </c>
      <c r="R23" s="709"/>
      <c r="S23" s="453"/>
      <c r="T23" s="460" t="s">
        <v>382</v>
      </c>
      <c r="U23" s="610"/>
      <c r="V23" s="611"/>
      <c r="W23" s="310"/>
    </row>
    <row r="24" spans="2:23" ht="14.1" customHeight="1">
      <c r="B24" s="308"/>
      <c r="C24" s="527"/>
      <c r="D24" s="622"/>
      <c r="E24" s="622"/>
      <c r="F24" s="601"/>
      <c r="G24" s="705"/>
      <c r="H24" s="705"/>
      <c r="I24" s="705"/>
      <c r="J24" s="705"/>
      <c r="K24" s="705"/>
      <c r="L24" s="705"/>
      <c r="M24" s="602"/>
      <c r="N24" s="698" t="s">
        <v>429</v>
      </c>
      <c r="O24" s="705"/>
      <c r="P24" s="602"/>
      <c r="Q24" s="698" t="s">
        <v>430</v>
      </c>
      <c r="R24" s="705"/>
      <c r="S24" s="602"/>
      <c r="T24" s="10" t="s">
        <v>431</v>
      </c>
      <c r="U24" s="10" t="s">
        <v>388</v>
      </c>
      <c r="V24" s="10" t="s">
        <v>432</v>
      </c>
      <c r="W24" s="310"/>
    </row>
    <row r="25" spans="2:23" ht="20.100000000000001" customHeight="1">
      <c r="B25" s="308"/>
      <c r="C25" s="426">
        <v>1</v>
      </c>
      <c r="D25" s="338"/>
      <c r="E25" s="348"/>
      <c r="F25" s="722"/>
      <c r="G25" s="723"/>
      <c r="H25" s="723"/>
      <c r="I25" s="723"/>
      <c r="J25" s="724"/>
      <c r="K25" s="724"/>
      <c r="L25" s="724"/>
      <c r="M25" s="725"/>
      <c r="N25" s="726"/>
      <c r="O25" s="727"/>
      <c r="P25" s="728"/>
      <c r="Q25" s="726"/>
      <c r="R25" s="727"/>
      <c r="S25" s="728"/>
      <c r="T25" s="313"/>
      <c r="U25" s="120"/>
      <c r="V25" s="120"/>
      <c r="W25" s="310"/>
    </row>
    <row r="26" spans="2:23" ht="20.100000000000001" customHeight="1">
      <c r="B26" s="308"/>
      <c r="C26" s="426">
        <v>2</v>
      </c>
      <c r="D26" s="338"/>
      <c r="E26" s="349"/>
      <c r="F26" s="722"/>
      <c r="G26" s="723"/>
      <c r="H26" s="723"/>
      <c r="I26" s="723"/>
      <c r="J26" s="724"/>
      <c r="K26" s="724"/>
      <c r="L26" s="724"/>
      <c r="M26" s="725"/>
      <c r="N26" s="726"/>
      <c r="O26" s="727"/>
      <c r="P26" s="728"/>
      <c r="Q26" s="726"/>
      <c r="R26" s="727"/>
      <c r="S26" s="728"/>
      <c r="T26" s="120"/>
      <c r="U26" s="120"/>
      <c r="V26" s="120"/>
      <c r="W26" s="310"/>
    </row>
    <row r="27" spans="2:23" ht="20.100000000000001" customHeight="1">
      <c r="B27" s="308"/>
      <c r="C27" s="426">
        <v>3</v>
      </c>
      <c r="D27" s="338"/>
      <c r="E27" s="349"/>
      <c r="F27" s="722"/>
      <c r="G27" s="723"/>
      <c r="H27" s="723"/>
      <c r="I27" s="723"/>
      <c r="J27" s="724"/>
      <c r="K27" s="724"/>
      <c r="L27" s="724"/>
      <c r="M27" s="725"/>
      <c r="N27" s="726"/>
      <c r="O27" s="727"/>
      <c r="P27" s="728"/>
      <c r="Q27" s="726"/>
      <c r="R27" s="727"/>
      <c r="S27" s="728"/>
      <c r="T27" s="120"/>
      <c r="U27" s="120"/>
      <c r="V27" s="120"/>
      <c r="W27" s="310"/>
    </row>
    <row r="28" spans="2:23" ht="20.100000000000001" customHeight="1">
      <c r="B28" s="308"/>
      <c r="C28" s="426">
        <v>4</v>
      </c>
      <c r="D28" s="313"/>
      <c r="E28" s="120"/>
      <c r="F28" s="722"/>
      <c r="G28" s="723"/>
      <c r="H28" s="723"/>
      <c r="I28" s="723"/>
      <c r="J28" s="724"/>
      <c r="K28" s="724"/>
      <c r="L28" s="724"/>
      <c r="M28" s="725"/>
      <c r="N28" s="726"/>
      <c r="O28" s="727"/>
      <c r="P28" s="728"/>
      <c r="Q28" s="726"/>
      <c r="R28" s="727"/>
      <c r="S28" s="728"/>
      <c r="T28" s="120"/>
      <c r="U28" s="120"/>
      <c r="V28" s="120"/>
      <c r="W28" s="310"/>
    </row>
    <row r="29" spans="2:23" ht="20.100000000000001" customHeight="1">
      <c r="B29" s="308"/>
      <c r="C29" s="426">
        <v>5</v>
      </c>
      <c r="D29" s="313"/>
      <c r="E29" s="120"/>
      <c r="F29" s="722"/>
      <c r="G29" s="723"/>
      <c r="H29" s="723"/>
      <c r="I29" s="723"/>
      <c r="J29" s="724"/>
      <c r="K29" s="724"/>
      <c r="L29" s="724"/>
      <c r="M29" s="725"/>
      <c r="N29" s="726"/>
      <c r="O29" s="727"/>
      <c r="P29" s="728"/>
      <c r="Q29" s="726"/>
      <c r="R29" s="727"/>
      <c r="S29" s="728"/>
      <c r="T29" s="120"/>
      <c r="U29" s="120"/>
      <c r="V29" s="120"/>
      <c r="W29" s="310"/>
    </row>
    <row r="30" spans="2:23" ht="9.9499999999999993" customHeight="1">
      <c r="B30" s="311"/>
      <c r="C30" s="309"/>
      <c r="D30" s="309"/>
      <c r="E30" s="309"/>
      <c r="F30" s="309"/>
      <c r="G30" s="309"/>
      <c r="H30" s="309"/>
      <c r="I30" s="309"/>
      <c r="J30" s="309"/>
      <c r="K30" s="309"/>
      <c r="L30" s="309"/>
      <c r="M30" s="309"/>
      <c r="N30" s="309"/>
      <c r="O30" s="309"/>
      <c r="P30" s="309"/>
      <c r="Q30" s="309"/>
      <c r="R30" s="309"/>
      <c r="S30" s="309"/>
      <c r="T30" s="309"/>
      <c r="U30" s="309"/>
      <c r="V30" s="309"/>
      <c r="W30" s="312"/>
    </row>
  </sheetData>
  <mergeCells count="43">
    <mergeCell ref="F29:M29"/>
    <mergeCell ref="N29:P29"/>
    <mergeCell ref="Q29:S29"/>
    <mergeCell ref="F27:M27"/>
    <mergeCell ref="N27:P27"/>
    <mergeCell ref="Q27:S27"/>
    <mergeCell ref="F28:M28"/>
    <mergeCell ref="N28:P28"/>
    <mergeCell ref="Q28:S28"/>
    <mergeCell ref="F25:M25"/>
    <mergeCell ref="N25:P25"/>
    <mergeCell ref="Q25:S25"/>
    <mergeCell ref="F26:M26"/>
    <mergeCell ref="N26:P26"/>
    <mergeCell ref="Q26:S26"/>
    <mergeCell ref="B22:W22"/>
    <mergeCell ref="C23:C24"/>
    <mergeCell ref="D23:D24"/>
    <mergeCell ref="E23:E24"/>
    <mergeCell ref="F23:M24"/>
    <mergeCell ref="N23:P23"/>
    <mergeCell ref="Q23:S23"/>
    <mergeCell ref="T23:V23"/>
    <mergeCell ref="N24:P24"/>
    <mergeCell ref="Q24:S24"/>
    <mergeCell ref="S9:V9"/>
    <mergeCell ref="W9:W21"/>
    <mergeCell ref="C11:D11"/>
    <mergeCell ref="C13:D13"/>
    <mergeCell ref="C15:D15"/>
    <mergeCell ref="C17:D17"/>
    <mergeCell ref="C19:D19"/>
    <mergeCell ref="C20:D20"/>
    <mergeCell ref="B4:W4"/>
    <mergeCell ref="E6:H6"/>
    <mergeCell ref="J6:M6"/>
    <mergeCell ref="Q6:T6"/>
    <mergeCell ref="B8:W8"/>
    <mergeCell ref="B9:B21"/>
    <mergeCell ref="C9:F9"/>
    <mergeCell ref="G9:J9"/>
    <mergeCell ref="K9:N9"/>
    <mergeCell ref="O9:R9"/>
  </mergeCells>
  <pageMargins left="0.7" right="0.7" top="0.78740157499999996" bottom="0.78740157499999996"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EB4D-CF2A-42EB-BF4D-5048D6CC2D7A}">
  <dimension ref="A1:K20"/>
  <sheetViews>
    <sheetView showGridLines="0" showRowColHeaders="0" zoomScale="90" zoomScaleNormal="90" workbookViewId="0"/>
  </sheetViews>
  <sheetFormatPr defaultColWidth="11.42578125" defaultRowHeight="15"/>
  <cols>
    <col min="1" max="1" width="1.5703125" style="1" customWidth="1"/>
    <col min="2" max="2" width="4.140625" style="1" customWidth="1"/>
    <col min="3" max="3" width="12.5703125" style="1" customWidth="1"/>
    <col min="4" max="4" width="30.140625" style="1" customWidth="1"/>
    <col min="5" max="5" width="26.85546875" style="1" customWidth="1"/>
    <col min="6" max="6" width="32.85546875" style="1" customWidth="1"/>
    <col min="7" max="7" width="16.85546875" style="1" customWidth="1"/>
    <col min="8" max="8" width="14.28515625" style="1" customWidth="1"/>
    <col min="9" max="11" width="8.5703125" style="1" customWidth="1"/>
  </cols>
  <sheetData>
    <row r="1" spans="1:11" ht="6.6" customHeight="1"/>
    <row r="2" spans="1:11" ht="18">
      <c r="B2" s="421" t="s">
        <v>35</v>
      </c>
      <c r="G2" s="3"/>
      <c r="H2" s="3"/>
      <c r="I2" s="4"/>
      <c r="J2" s="3"/>
      <c r="K2" s="4"/>
    </row>
    <row r="3" spans="1:11" ht="18.95" customHeight="1">
      <c r="A3" s="422"/>
      <c r="B3" s="422" t="s">
        <v>433</v>
      </c>
      <c r="C3" s="422"/>
      <c r="D3" s="422"/>
      <c r="E3" s="422"/>
      <c r="F3" s="422"/>
      <c r="G3" s="422"/>
      <c r="H3" s="422"/>
      <c r="I3" s="422"/>
      <c r="J3" s="422"/>
      <c r="K3" s="422"/>
    </row>
    <row r="4" spans="1:11" ht="6.6" customHeight="1">
      <c r="A4" s="422"/>
      <c r="B4" s="422"/>
      <c r="C4" s="422"/>
      <c r="D4" s="422"/>
      <c r="E4" s="422"/>
      <c r="F4" s="422"/>
      <c r="G4" s="422"/>
      <c r="H4" s="422"/>
      <c r="I4" s="422"/>
      <c r="J4" s="422"/>
      <c r="K4" s="422"/>
    </row>
    <row r="5" spans="1:11" ht="20.45" customHeight="1">
      <c r="A5" s="422"/>
      <c r="B5" s="516" t="s">
        <v>434</v>
      </c>
      <c r="C5" s="517"/>
      <c r="D5" s="517"/>
      <c r="E5" s="517"/>
      <c r="F5" s="517"/>
      <c r="G5" s="517"/>
      <c r="H5" s="517"/>
      <c r="I5" s="517"/>
      <c r="J5" s="517"/>
      <c r="K5" s="518"/>
    </row>
    <row r="6" spans="1:11" ht="8.1" customHeight="1">
      <c r="B6" s="12"/>
      <c r="C6" s="13"/>
      <c r="D6" s="13"/>
      <c r="E6" s="13"/>
      <c r="F6" s="13"/>
      <c r="G6" s="13"/>
      <c r="H6" s="13"/>
      <c r="I6" s="14"/>
      <c r="J6" s="13"/>
      <c r="K6" s="15"/>
    </row>
    <row r="7" spans="1:11" ht="18.95" customHeight="1">
      <c r="B7" s="16"/>
      <c r="C7" s="419" t="s">
        <v>435</v>
      </c>
      <c r="D7" s="733"/>
      <c r="E7" s="734"/>
      <c r="F7" s="437"/>
      <c r="G7" s="47" t="s">
        <v>376</v>
      </c>
      <c r="H7" s="416"/>
      <c r="I7" s="317"/>
      <c r="J7" s="123"/>
      <c r="K7" s="18"/>
    </row>
    <row r="8" spans="1:11" ht="6" customHeight="1">
      <c r="B8" s="19"/>
      <c r="C8" s="20"/>
      <c r="D8" s="20"/>
      <c r="E8" s="20"/>
      <c r="F8" s="20"/>
      <c r="G8" s="20"/>
      <c r="H8" s="20"/>
      <c r="I8" s="21"/>
      <c r="J8" s="20"/>
      <c r="K8" s="22"/>
    </row>
    <row r="9" spans="1:11" ht="20.100000000000001" customHeight="1">
      <c r="B9" s="514" t="s">
        <v>5</v>
      </c>
      <c r="C9" s="697" t="s">
        <v>436</v>
      </c>
      <c r="D9" s="453"/>
      <c r="E9" s="697" t="s">
        <v>437</v>
      </c>
      <c r="F9" s="453"/>
      <c r="G9" s="424" t="s">
        <v>438</v>
      </c>
      <c r="H9" s="424" t="s">
        <v>439</v>
      </c>
      <c r="I9" s="730" t="s">
        <v>382</v>
      </c>
      <c r="J9" s="731"/>
      <c r="K9" s="732"/>
    </row>
    <row r="10" spans="1:11" ht="15.6" customHeight="1">
      <c r="A10" s="2"/>
      <c r="B10" s="522"/>
      <c r="C10" s="507" t="s">
        <v>440</v>
      </c>
      <c r="D10" s="729"/>
      <c r="E10" s="507" t="s">
        <v>441</v>
      </c>
      <c r="F10" s="729"/>
      <c r="G10" s="291" t="s">
        <v>442</v>
      </c>
      <c r="H10" s="291" t="s">
        <v>443</v>
      </c>
      <c r="I10" s="58" t="s">
        <v>431</v>
      </c>
      <c r="J10" s="10" t="s">
        <v>388</v>
      </c>
      <c r="K10" s="10" t="s">
        <v>389</v>
      </c>
    </row>
    <row r="11" spans="1:11" ht="26.1" customHeight="1">
      <c r="B11" s="10">
        <v>1</v>
      </c>
      <c r="C11" s="605"/>
      <c r="D11" s="702"/>
      <c r="E11" s="605"/>
      <c r="F11" s="702"/>
      <c r="G11" s="120"/>
      <c r="H11" s="318"/>
      <c r="I11" s="120"/>
      <c r="J11" s="120"/>
      <c r="K11" s="120"/>
    </row>
    <row r="12" spans="1:11" ht="26.1" customHeight="1">
      <c r="B12" s="10">
        <f>B11+1</f>
        <v>2</v>
      </c>
      <c r="C12" s="605"/>
      <c r="D12" s="702"/>
      <c r="E12" s="605"/>
      <c r="F12" s="702"/>
      <c r="G12" s="120"/>
      <c r="H12" s="318"/>
      <c r="I12" s="120"/>
      <c r="J12" s="120"/>
      <c r="K12" s="120"/>
    </row>
    <row r="13" spans="1:11" ht="26.1" customHeight="1">
      <c r="B13" s="10">
        <f t="shared" ref="B13:B20" si="0">B12+1</f>
        <v>3</v>
      </c>
      <c r="C13" s="605"/>
      <c r="D13" s="702"/>
      <c r="E13" s="605"/>
      <c r="F13" s="702"/>
      <c r="G13" s="120"/>
      <c r="H13" s="318"/>
      <c r="I13" s="120"/>
      <c r="J13" s="120"/>
      <c r="K13" s="120"/>
    </row>
    <row r="14" spans="1:11" ht="26.1" customHeight="1">
      <c r="B14" s="10">
        <f t="shared" si="0"/>
        <v>4</v>
      </c>
      <c r="C14" s="605"/>
      <c r="D14" s="702"/>
      <c r="E14" s="605"/>
      <c r="F14" s="702"/>
      <c r="G14" s="120"/>
      <c r="H14" s="120"/>
      <c r="I14" s="120"/>
      <c r="J14" s="120"/>
      <c r="K14" s="120"/>
    </row>
    <row r="15" spans="1:11" ht="26.1" customHeight="1">
      <c r="B15" s="10">
        <f t="shared" si="0"/>
        <v>5</v>
      </c>
      <c r="C15" s="605"/>
      <c r="D15" s="702"/>
      <c r="E15" s="605"/>
      <c r="F15" s="702"/>
      <c r="G15" s="120"/>
      <c r="H15" s="120"/>
      <c r="I15" s="120"/>
      <c r="J15" s="120"/>
      <c r="K15" s="120"/>
    </row>
    <row r="16" spans="1:11" ht="26.1" customHeight="1">
      <c r="B16" s="10">
        <f t="shared" si="0"/>
        <v>6</v>
      </c>
      <c r="C16" s="605"/>
      <c r="D16" s="702"/>
      <c r="E16" s="605"/>
      <c r="F16" s="702"/>
      <c r="G16" s="120"/>
      <c r="H16" s="120"/>
      <c r="I16" s="120"/>
      <c r="J16" s="120"/>
      <c r="K16" s="120"/>
    </row>
    <row r="17" spans="2:11" ht="26.1" customHeight="1">
      <c r="B17" s="10">
        <f t="shared" si="0"/>
        <v>7</v>
      </c>
      <c r="C17" s="605"/>
      <c r="D17" s="702"/>
      <c r="E17" s="605"/>
      <c r="F17" s="702"/>
      <c r="G17" s="120"/>
      <c r="H17" s="120"/>
      <c r="I17" s="120"/>
      <c r="J17" s="120"/>
      <c r="K17" s="120"/>
    </row>
    <row r="18" spans="2:11" ht="26.1" customHeight="1">
      <c r="B18" s="10">
        <f t="shared" si="0"/>
        <v>8</v>
      </c>
      <c r="C18" s="605"/>
      <c r="D18" s="702"/>
      <c r="E18" s="605"/>
      <c r="F18" s="702"/>
      <c r="G18" s="120"/>
      <c r="H18" s="120"/>
      <c r="I18" s="120"/>
      <c r="J18" s="120"/>
      <c r="K18" s="120"/>
    </row>
    <row r="19" spans="2:11" ht="26.1" customHeight="1">
      <c r="B19" s="10">
        <f t="shared" si="0"/>
        <v>9</v>
      </c>
      <c r="C19" s="605"/>
      <c r="D19" s="702"/>
      <c r="E19" s="605"/>
      <c r="F19" s="702"/>
      <c r="G19" s="120"/>
      <c r="H19" s="120"/>
      <c r="I19" s="120"/>
      <c r="J19" s="120"/>
      <c r="K19" s="120"/>
    </row>
    <row r="20" spans="2:11" ht="26.1" customHeight="1">
      <c r="B20" s="10">
        <f t="shared" si="0"/>
        <v>10</v>
      </c>
      <c r="C20" s="605"/>
      <c r="D20" s="702"/>
      <c r="E20" s="605"/>
      <c r="F20" s="702"/>
      <c r="G20" s="120"/>
      <c r="H20" s="120"/>
      <c r="I20" s="120"/>
      <c r="J20" s="120"/>
      <c r="K20" s="120"/>
    </row>
  </sheetData>
  <mergeCells count="28">
    <mergeCell ref="C9:D9"/>
    <mergeCell ref="C10:D10"/>
    <mergeCell ref="B5:K5"/>
    <mergeCell ref="B9:B10"/>
    <mergeCell ref="I9:K9"/>
    <mergeCell ref="E9:F9"/>
    <mergeCell ref="E10:F10"/>
    <mergeCell ref="D7:E7"/>
    <mergeCell ref="C11:D11"/>
    <mergeCell ref="C12:D12"/>
    <mergeCell ref="C13:D13"/>
    <mergeCell ref="C14:D14"/>
    <mergeCell ref="C15:D15"/>
    <mergeCell ref="E18:F18"/>
    <mergeCell ref="E19:F19"/>
    <mergeCell ref="E20:F20"/>
    <mergeCell ref="C16:D16"/>
    <mergeCell ref="C17:D17"/>
    <mergeCell ref="C18:D18"/>
    <mergeCell ref="C19:D19"/>
    <mergeCell ref="C20:D20"/>
    <mergeCell ref="E15:F15"/>
    <mergeCell ref="E16:F16"/>
    <mergeCell ref="E17:F17"/>
    <mergeCell ref="E11:F11"/>
    <mergeCell ref="E12:F12"/>
    <mergeCell ref="E13:F13"/>
    <mergeCell ref="E14:F14"/>
  </mergeCells>
  <pageMargins left="0.7" right="0.7" top="0.78740157499999996" bottom="0.78740157499999996" header="0.3" footer="0.3"/>
  <pageSetup paperSize="9"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FCC5-C761-411D-A7BE-001AC1A75C5E}">
  <dimension ref="B1:N47"/>
  <sheetViews>
    <sheetView showGridLines="0" showRowColHeaders="0" zoomScale="80" zoomScaleNormal="80" workbookViewId="0"/>
  </sheetViews>
  <sheetFormatPr defaultColWidth="10.85546875" defaultRowHeight="12.75"/>
  <cols>
    <col min="1" max="1" width="2" style="1" customWidth="1"/>
    <col min="2" max="2" width="3.28515625" style="1" customWidth="1"/>
    <col min="3" max="3" width="5.28515625" style="1" customWidth="1"/>
    <col min="4" max="4" width="5.5703125" style="5" customWidth="1"/>
    <col min="5" max="5" width="54.140625" style="1" customWidth="1"/>
    <col min="6" max="6" width="26.85546875" style="1" customWidth="1"/>
    <col min="7" max="9" width="12.5703125" style="1" customWidth="1"/>
    <col min="10" max="14" width="10.7109375" style="1" customWidth="1"/>
    <col min="15" max="16384" width="10.85546875" style="1"/>
  </cols>
  <sheetData>
    <row r="1" spans="2:14" ht="5.45" customHeight="1"/>
    <row r="2" spans="2:14" ht="18">
      <c r="B2" s="421" t="s">
        <v>38</v>
      </c>
      <c r="D2" s="3"/>
      <c r="E2" s="6"/>
      <c r="F2" s="6"/>
      <c r="G2" s="6"/>
      <c r="H2" s="6"/>
      <c r="I2" s="6"/>
      <c r="J2" s="6"/>
      <c r="K2" s="6"/>
      <c r="L2" s="6"/>
      <c r="M2" s="6"/>
      <c r="N2" s="6"/>
    </row>
    <row r="3" spans="2:14" s="8" customFormat="1" ht="15" customHeight="1">
      <c r="B3" s="422" t="s">
        <v>444</v>
      </c>
      <c r="C3" s="422"/>
      <c r="D3" s="422"/>
      <c r="E3" s="422"/>
      <c r="F3" s="422"/>
      <c r="G3" s="422"/>
      <c r="H3" s="422"/>
      <c r="I3" s="422"/>
      <c r="J3" s="422"/>
      <c r="K3" s="422"/>
      <c r="L3" s="24"/>
      <c r="M3" s="422"/>
      <c r="N3" s="422"/>
    </row>
    <row r="4" spans="2:14" ht="6.95" customHeight="1" thickBot="1"/>
    <row r="5" spans="2:14" ht="23.45" customHeight="1" thickTop="1">
      <c r="B5" s="741" t="s">
        <v>445</v>
      </c>
      <c r="C5" s="742"/>
      <c r="D5" s="742"/>
      <c r="E5" s="742"/>
      <c r="F5" s="742"/>
      <c r="G5" s="742"/>
      <c r="H5" s="742"/>
      <c r="I5" s="742"/>
      <c r="J5" s="742"/>
      <c r="K5" s="742"/>
      <c r="L5" s="742"/>
      <c r="M5" s="742"/>
      <c r="N5" s="743"/>
    </row>
    <row r="6" spans="2:14" ht="8.4499999999999993" customHeight="1">
      <c r="B6" s="201"/>
      <c r="C6" s="13"/>
      <c r="D6" s="14"/>
      <c r="E6" s="13"/>
      <c r="F6" s="13"/>
      <c r="G6" s="13"/>
      <c r="H6" s="13"/>
      <c r="I6" s="13"/>
      <c r="J6" s="13"/>
      <c r="K6" s="13"/>
      <c r="L6" s="13"/>
      <c r="M6" s="13"/>
      <c r="N6" s="202"/>
    </row>
    <row r="7" spans="2:14" ht="21" customHeight="1">
      <c r="B7" s="203"/>
      <c r="C7" s="17"/>
      <c r="D7" s="23" t="s">
        <v>343</v>
      </c>
      <c r="E7" s="412"/>
      <c r="F7" s="117"/>
      <c r="G7" s="23" t="s">
        <v>446</v>
      </c>
      <c r="H7" s="512"/>
      <c r="I7" s="744"/>
      <c r="J7" s="17"/>
      <c r="K7" s="23" t="s">
        <v>447</v>
      </c>
      <c r="L7" s="512"/>
      <c r="M7" s="744"/>
      <c r="N7" s="204"/>
    </row>
    <row r="8" spans="2:14" ht="6.95" customHeight="1" thickBot="1">
      <c r="B8" s="205"/>
      <c r="C8" s="206"/>
      <c r="D8" s="207"/>
      <c r="E8" s="206"/>
      <c r="F8" s="206"/>
      <c r="G8" s="206"/>
      <c r="H8" s="206"/>
      <c r="I8" s="206"/>
      <c r="J8" s="206"/>
      <c r="K8" s="206"/>
      <c r="L8" s="206"/>
      <c r="M8" s="206"/>
      <c r="N8" s="208"/>
    </row>
    <row r="9" spans="2:14" ht="21.6" customHeight="1" thickTop="1">
      <c r="B9" s="745" t="s">
        <v>448</v>
      </c>
      <c r="C9" s="746"/>
      <c r="D9" s="749" t="s">
        <v>15</v>
      </c>
      <c r="E9" s="750"/>
      <c r="F9" s="756" t="s">
        <v>449</v>
      </c>
      <c r="G9" s="757"/>
      <c r="H9" s="757"/>
      <c r="I9" s="758"/>
      <c r="J9" s="753" t="s">
        <v>450</v>
      </c>
      <c r="K9" s="754"/>
      <c r="L9" s="754"/>
      <c r="M9" s="754"/>
      <c r="N9" s="755"/>
    </row>
    <row r="10" spans="2:14" ht="20.100000000000001" customHeight="1">
      <c r="B10" s="747"/>
      <c r="C10" s="748"/>
      <c r="D10" s="751"/>
      <c r="E10" s="752"/>
      <c r="F10" s="174" t="s">
        <v>451</v>
      </c>
      <c r="G10" s="173" t="s">
        <v>452</v>
      </c>
      <c r="H10" s="173" t="s">
        <v>453</v>
      </c>
      <c r="I10" s="175" t="s">
        <v>454</v>
      </c>
      <c r="J10" s="187" t="s">
        <v>455</v>
      </c>
      <c r="K10" s="172" t="s">
        <v>103</v>
      </c>
      <c r="L10" s="172" t="s">
        <v>104</v>
      </c>
      <c r="M10" s="172" t="s">
        <v>105</v>
      </c>
      <c r="N10" s="188" t="s">
        <v>106</v>
      </c>
    </row>
    <row r="11" spans="2:14" ht="12.6" customHeight="1">
      <c r="B11" s="735">
        <v>1</v>
      </c>
      <c r="C11" s="501" t="s">
        <v>107</v>
      </c>
      <c r="D11" s="11" t="s">
        <v>109</v>
      </c>
      <c r="E11" s="177"/>
      <c r="F11" s="176"/>
      <c r="G11" s="109"/>
      <c r="H11" s="109"/>
      <c r="I11" s="177"/>
      <c r="J11" s="189"/>
      <c r="K11" s="113"/>
      <c r="L11" s="113"/>
      <c r="M11" s="113"/>
      <c r="N11" s="190"/>
    </row>
    <row r="12" spans="2:14" ht="12.6" customHeight="1">
      <c r="B12" s="736"/>
      <c r="C12" s="740"/>
      <c r="D12" s="11" t="s">
        <v>110</v>
      </c>
      <c r="E12" s="177"/>
      <c r="F12" s="176"/>
      <c r="G12" s="109"/>
      <c r="H12" s="109"/>
      <c r="I12" s="177"/>
      <c r="J12" s="189"/>
      <c r="K12" s="113"/>
      <c r="L12" s="113"/>
      <c r="M12" s="113"/>
      <c r="N12" s="190"/>
    </row>
    <row r="13" spans="2:14" ht="12.6" customHeight="1">
      <c r="B13" s="736"/>
      <c r="C13" s="740"/>
      <c r="D13" s="11" t="s">
        <v>111</v>
      </c>
      <c r="E13" s="177"/>
      <c r="F13" s="176"/>
      <c r="G13" s="109"/>
      <c r="H13" s="109"/>
      <c r="I13" s="177"/>
      <c r="J13" s="189"/>
      <c r="K13" s="113"/>
      <c r="L13" s="113"/>
      <c r="M13" s="113"/>
      <c r="N13" s="190"/>
    </row>
    <row r="14" spans="2:14" ht="12.6" customHeight="1">
      <c r="B14" s="736"/>
      <c r="C14" s="740"/>
      <c r="D14" s="11" t="s">
        <v>113</v>
      </c>
      <c r="E14" s="177"/>
      <c r="F14" s="176"/>
      <c r="G14" s="109"/>
      <c r="H14" s="109"/>
      <c r="I14" s="177"/>
      <c r="J14" s="189"/>
      <c r="K14" s="113"/>
      <c r="L14" s="113"/>
      <c r="M14" s="113"/>
      <c r="N14" s="190"/>
    </row>
    <row r="15" spans="2:14" ht="12.6" customHeight="1">
      <c r="B15" s="736"/>
      <c r="C15" s="740"/>
      <c r="D15" s="11" t="s">
        <v>114</v>
      </c>
      <c r="E15" s="177"/>
      <c r="F15" s="176"/>
      <c r="G15" s="109"/>
      <c r="H15" s="109"/>
      <c r="I15" s="177"/>
      <c r="J15" s="189"/>
      <c r="K15" s="113"/>
      <c r="L15" s="113"/>
      <c r="M15" s="113"/>
      <c r="N15" s="190"/>
    </row>
    <row r="16" spans="2:14" ht="12.6" customHeight="1">
      <c r="B16" s="736"/>
      <c r="C16" s="740"/>
      <c r="D16" s="11" t="s">
        <v>115</v>
      </c>
      <c r="E16" s="177"/>
      <c r="F16" s="176"/>
      <c r="G16" s="109"/>
      <c r="H16" s="109"/>
      <c r="I16" s="177"/>
      <c r="J16" s="189"/>
      <c r="K16" s="113"/>
      <c r="L16" s="113"/>
      <c r="M16" s="113"/>
      <c r="N16" s="190"/>
    </row>
    <row r="17" spans="2:14" ht="12.6" customHeight="1">
      <c r="B17" s="736"/>
      <c r="C17" s="740"/>
      <c r="D17" s="11" t="s">
        <v>117</v>
      </c>
      <c r="E17" s="177"/>
      <c r="F17" s="176"/>
      <c r="G17" s="109"/>
      <c r="H17" s="109"/>
      <c r="I17" s="177"/>
      <c r="J17" s="189"/>
      <c r="K17" s="113"/>
      <c r="L17" s="113"/>
      <c r="M17" s="113"/>
      <c r="N17" s="190"/>
    </row>
    <row r="18" spans="2:14" ht="12.6" customHeight="1">
      <c r="B18" s="736"/>
      <c r="C18" s="740"/>
      <c r="D18" s="11" t="s">
        <v>118</v>
      </c>
      <c r="E18" s="177"/>
      <c r="F18" s="176"/>
      <c r="G18" s="109"/>
      <c r="H18" s="109"/>
      <c r="I18" s="177"/>
      <c r="J18" s="189"/>
      <c r="K18" s="113"/>
      <c r="L18" s="113"/>
      <c r="M18" s="113"/>
      <c r="N18" s="190"/>
    </row>
    <row r="19" spans="2:14" ht="12.6" customHeight="1">
      <c r="B19" s="736"/>
      <c r="C19" s="740"/>
      <c r="D19" s="11" t="s">
        <v>119</v>
      </c>
      <c r="E19" s="177"/>
      <c r="F19" s="176"/>
      <c r="G19" s="109"/>
      <c r="H19" s="109"/>
      <c r="I19" s="177"/>
      <c r="J19" s="189"/>
      <c r="K19" s="113"/>
      <c r="L19" s="113"/>
      <c r="M19" s="113"/>
      <c r="N19" s="190"/>
    </row>
    <row r="20" spans="2:14" ht="12.6" customHeight="1">
      <c r="B20" s="735">
        <v>2</v>
      </c>
      <c r="C20" s="495" t="s">
        <v>120</v>
      </c>
      <c r="D20" s="11" t="s">
        <v>122</v>
      </c>
      <c r="E20" s="179"/>
      <c r="F20" s="178"/>
      <c r="G20" s="110"/>
      <c r="H20" s="110"/>
      <c r="I20" s="179"/>
      <c r="J20" s="191"/>
      <c r="K20" s="114"/>
      <c r="L20" s="114"/>
      <c r="M20" s="114"/>
      <c r="N20" s="192"/>
    </row>
    <row r="21" spans="2:14" ht="12.6" customHeight="1">
      <c r="B21" s="736"/>
      <c r="C21" s="738"/>
      <c r="D21" s="11" t="s">
        <v>123</v>
      </c>
      <c r="E21" s="179"/>
      <c r="F21" s="178"/>
      <c r="G21" s="110"/>
      <c r="H21" s="110"/>
      <c r="I21" s="179"/>
      <c r="J21" s="191"/>
      <c r="K21" s="114"/>
      <c r="L21" s="114"/>
      <c r="M21" s="114"/>
      <c r="N21" s="192"/>
    </row>
    <row r="22" spans="2:14" ht="12.6" customHeight="1">
      <c r="B22" s="736"/>
      <c r="C22" s="738"/>
      <c r="D22" s="11" t="s">
        <v>124</v>
      </c>
      <c r="E22" s="179"/>
      <c r="F22" s="178"/>
      <c r="G22" s="110"/>
      <c r="H22" s="110"/>
      <c r="I22" s="179"/>
      <c r="J22" s="191"/>
      <c r="K22" s="114"/>
      <c r="L22" s="114"/>
      <c r="M22" s="114"/>
      <c r="N22" s="192"/>
    </row>
    <row r="23" spans="2:14" ht="12.6" customHeight="1">
      <c r="B23" s="736"/>
      <c r="C23" s="738"/>
      <c r="D23" s="11" t="s">
        <v>126</v>
      </c>
      <c r="E23" s="179"/>
      <c r="F23" s="178"/>
      <c r="G23" s="110"/>
      <c r="H23" s="110"/>
      <c r="I23" s="179"/>
      <c r="J23" s="191"/>
      <c r="K23" s="114"/>
      <c r="L23" s="114"/>
      <c r="M23" s="114"/>
      <c r="N23" s="192"/>
    </row>
    <row r="24" spans="2:14" ht="12.6" customHeight="1">
      <c r="B24" s="736"/>
      <c r="C24" s="738"/>
      <c r="D24" s="11" t="s">
        <v>127</v>
      </c>
      <c r="E24" s="179"/>
      <c r="F24" s="178"/>
      <c r="G24" s="110"/>
      <c r="H24" s="110"/>
      <c r="I24" s="179"/>
      <c r="J24" s="191"/>
      <c r="K24" s="114"/>
      <c r="L24" s="114"/>
      <c r="M24" s="114"/>
      <c r="N24" s="192"/>
    </row>
    <row r="25" spans="2:14" ht="12.6" customHeight="1">
      <c r="B25" s="736"/>
      <c r="C25" s="738"/>
      <c r="D25" s="11" t="s">
        <v>128</v>
      </c>
      <c r="E25" s="179"/>
      <c r="F25" s="178"/>
      <c r="G25" s="110"/>
      <c r="H25" s="110"/>
      <c r="I25" s="179"/>
      <c r="J25" s="191"/>
      <c r="K25" s="114"/>
      <c r="L25" s="114"/>
      <c r="M25" s="114"/>
      <c r="N25" s="192"/>
    </row>
    <row r="26" spans="2:14" ht="12.6" customHeight="1">
      <c r="B26" s="736"/>
      <c r="C26" s="738"/>
      <c r="D26" s="11" t="s">
        <v>130</v>
      </c>
      <c r="E26" s="179"/>
      <c r="F26" s="178"/>
      <c r="G26" s="110"/>
      <c r="H26" s="110"/>
      <c r="I26" s="179"/>
      <c r="J26" s="191"/>
      <c r="K26" s="114"/>
      <c r="L26" s="114"/>
      <c r="M26" s="114"/>
      <c r="N26" s="192"/>
    </row>
    <row r="27" spans="2:14" ht="12.6" customHeight="1">
      <c r="B27" s="736"/>
      <c r="C27" s="738"/>
      <c r="D27" s="11" t="s">
        <v>131</v>
      </c>
      <c r="E27" s="179"/>
      <c r="F27" s="178"/>
      <c r="G27" s="110"/>
      <c r="H27" s="110"/>
      <c r="I27" s="179"/>
      <c r="J27" s="191"/>
      <c r="K27" s="114"/>
      <c r="L27" s="114"/>
      <c r="M27" s="114"/>
      <c r="N27" s="192"/>
    </row>
    <row r="28" spans="2:14" ht="12.6" customHeight="1">
      <c r="B28" s="736"/>
      <c r="C28" s="738"/>
      <c r="D28" s="11" t="s">
        <v>132</v>
      </c>
      <c r="E28" s="179"/>
      <c r="F28" s="178"/>
      <c r="G28" s="110"/>
      <c r="H28" s="110"/>
      <c r="I28" s="179"/>
      <c r="J28" s="191"/>
      <c r="K28" s="114"/>
      <c r="L28" s="114"/>
      <c r="M28" s="114"/>
      <c r="N28" s="192"/>
    </row>
    <row r="29" spans="2:14" ht="12.6" customHeight="1">
      <c r="B29" s="735">
        <v>3</v>
      </c>
      <c r="C29" s="488" t="s">
        <v>133</v>
      </c>
      <c r="D29" s="11" t="s">
        <v>135</v>
      </c>
      <c r="E29" s="181"/>
      <c r="F29" s="180"/>
      <c r="G29" s="111"/>
      <c r="H29" s="111"/>
      <c r="I29" s="181"/>
      <c r="J29" s="193"/>
      <c r="K29" s="115"/>
      <c r="L29" s="115"/>
      <c r="M29" s="115"/>
      <c r="N29" s="194"/>
    </row>
    <row r="30" spans="2:14" ht="12.6" customHeight="1">
      <c r="B30" s="736"/>
      <c r="C30" s="738"/>
      <c r="D30" s="11" t="s">
        <v>136</v>
      </c>
      <c r="E30" s="181"/>
      <c r="F30" s="180"/>
      <c r="G30" s="111"/>
      <c r="H30" s="111"/>
      <c r="I30" s="181"/>
      <c r="J30" s="193"/>
      <c r="K30" s="115"/>
      <c r="L30" s="115"/>
      <c r="M30" s="115"/>
      <c r="N30" s="194"/>
    </row>
    <row r="31" spans="2:14" ht="12.6" customHeight="1">
      <c r="B31" s="736"/>
      <c r="C31" s="738"/>
      <c r="D31" s="11" t="s">
        <v>137</v>
      </c>
      <c r="E31" s="181"/>
      <c r="F31" s="180"/>
      <c r="G31" s="111"/>
      <c r="H31" s="111"/>
      <c r="I31" s="181"/>
      <c r="J31" s="193"/>
      <c r="K31" s="115"/>
      <c r="L31" s="115"/>
      <c r="M31" s="115"/>
      <c r="N31" s="194"/>
    </row>
    <row r="32" spans="2:14" ht="12.6" customHeight="1">
      <c r="B32" s="736"/>
      <c r="C32" s="738"/>
      <c r="D32" s="11" t="s">
        <v>139</v>
      </c>
      <c r="E32" s="181"/>
      <c r="F32" s="180"/>
      <c r="G32" s="111"/>
      <c r="H32" s="111"/>
      <c r="I32" s="181"/>
      <c r="J32" s="193"/>
      <c r="K32" s="115"/>
      <c r="L32" s="115"/>
      <c r="M32" s="115"/>
      <c r="N32" s="194"/>
    </row>
    <row r="33" spans="2:14" ht="12.6" customHeight="1">
      <c r="B33" s="736"/>
      <c r="C33" s="738"/>
      <c r="D33" s="11" t="s">
        <v>140</v>
      </c>
      <c r="E33" s="181"/>
      <c r="F33" s="180"/>
      <c r="G33" s="111"/>
      <c r="H33" s="111"/>
      <c r="I33" s="181"/>
      <c r="J33" s="193"/>
      <c r="K33" s="115"/>
      <c r="L33" s="115"/>
      <c r="M33" s="115"/>
      <c r="N33" s="194"/>
    </row>
    <row r="34" spans="2:14" ht="12.6" customHeight="1">
      <c r="B34" s="736"/>
      <c r="C34" s="738"/>
      <c r="D34" s="11" t="s">
        <v>141</v>
      </c>
      <c r="E34" s="181"/>
      <c r="F34" s="180"/>
      <c r="G34" s="111"/>
      <c r="H34" s="111"/>
      <c r="I34" s="181"/>
      <c r="J34" s="193"/>
      <c r="K34" s="115"/>
      <c r="L34" s="115"/>
      <c r="M34" s="115"/>
      <c r="N34" s="194"/>
    </row>
    <row r="35" spans="2:14" ht="12.6" customHeight="1">
      <c r="B35" s="736"/>
      <c r="C35" s="738"/>
      <c r="D35" s="11" t="s">
        <v>143</v>
      </c>
      <c r="E35" s="181"/>
      <c r="F35" s="180"/>
      <c r="G35" s="111"/>
      <c r="H35" s="111"/>
      <c r="I35" s="181"/>
      <c r="J35" s="193"/>
      <c r="K35" s="115"/>
      <c r="L35" s="115"/>
      <c r="M35" s="115"/>
      <c r="N35" s="194"/>
    </row>
    <row r="36" spans="2:14" ht="12.6" customHeight="1">
      <c r="B36" s="736"/>
      <c r="C36" s="738"/>
      <c r="D36" s="11" t="s">
        <v>144</v>
      </c>
      <c r="E36" s="181"/>
      <c r="F36" s="180"/>
      <c r="G36" s="111"/>
      <c r="H36" s="111"/>
      <c r="I36" s="181"/>
      <c r="J36" s="193"/>
      <c r="K36" s="115"/>
      <c r="L36" s="115"/>
      <c r="M36" s="115"/>
      <c r="N36" s="194"/>
    </row>
    <row r="37" spans="2:14" ht="12.6" customHeight="1">
      <c r="B37" s="736"/>
      <c r="C37" s="738"/>
      <c r="D37" s="11" t="s">
        <v>145</v>
      </c>
      <c r="E37" s="181"/>
      <c r="F37" s="180"/>
      <c r="G37" s="111"/>
      <c r="H37" s="111"/>
      <c r="I37" s="181"/>
      <c r="J37" s="193"/>
      <c r="K37" s="115"/>
      <c r="L37" s="115"/>
      <c r="M37" s="115"/>
      <c r="N37" s="194"/>
    </row>
    <row r="38" spans="2:14" ht="12.6" customHeight="1">
      <c r="B38" s="735">
        <v>4</v>
      </c>
      <c r="C38" s="479" t="s">
        <v>146</v>
      </c>
      <c r="D38" s="11" t="s">
        <v>148</v>
      </c>
      <c r="E38" s="183"/>
      <c r="F38" s="182"/>
      <c r="G38" s="112"/>
      <c r="H38" s="112"/>
      <c r="I38" s="183"/>
      <c r="J38" s="195"/>
      <c r="K38" s="116"/>
      <c r="L38" s="116"/>
      <c r="M38" s="116"/>
      <c r="N38" s="196"/>
    </row>
    <row r="39" spans="2:14" ht="12.6" customHeight="1">
      <c r="B39" s="736"/>
      <c r="C39" s="738"/>
      <c r="D39" s="11" t="s">
        <v>149</v>
      </c>
      <c r="E39" s="183"/>
      <c r="F39" s="182"/>
      <c r="G39" s="112"/>
      <c r="H39" s="112"/>
      <c r="I39" s="183"/>
      <c r="J39" s="195"/>
      <c r="K39" s="116"/>
      <c r="L39" s="116"/>
      <c r="M39" s="116"/>
      <c r="N39" s="196"/>
    </row>
    <row r="40" spans="2:14" ht="12.6" customHeight="1">
      <c r="B40" s="736"/>
      <c r="C40" s="738"/>
      <c r="D40" s="11" t="s">
        <v>150</v>
      </c>
      <c r="E40" s="183"/>
      <c r="F40" s="182"/>
      <c r="G40" s="112"/>
      <c r="H40" s="112"/>
      <c r="I40" s="183"/>
      <c r="J40" s="195"/>
      <c r="K40" s="116"/>
      <c r="L40" s="116"/>
      <c r="M40" s="116"/>
      <c r="N40" s="196"/>
    </row>
    <row r="41" spans="2:14" ht="12.6" customHeight="1">
      <c r="B41" s="736"/>
      <c r="C41" s="738"/>
      <c r="D41" s="11" t="s">
        <v>152</v>
      </c>
      <c r="E41" s="183"/>
      <c r="F41" s="182"/>
      <c r="G41" s="112"/>
      <c r="H41" s="112"/>
      <c r="I41" s="183"/>
      <c r="J41" s="195"/>
      <c r="K41" s="116"/>
      <c r="L41" s="116"/>
      <c r="M41" s="116"/>
      <c r="N41" s="196"/>
    </row>
    <row r="42" spans="2:14" ht="12.6" customHeight="1">
      <c r="B42" s="736"/>
      <c r="C42" s="738"/>
      <c r="D42" s="11" t="s">
        <v>153</v>
      </c>
      <c r="E42" s="183"/>
      <c r="F42" s="182"/>
      <c r="G42" s="112"/>
      <c r="H42" s="112"/>
      <c r="I42" s="183"/>
      <c r="J42" s="195"/>
      <c r="K42" s="116"/>
      <c r="L42" s="116"/>
      <c r="M42" s="116"/>
      <c r="N42" s="196"/>
    </row>
    <row r="43" spans="2:14" ht="12.6" customHeight="1">
      <c r="B43" s="736"/>
      <c r="C43" s="738"/>
      <c r="D43" s="11" t="s">
        <v>154</v>
      </c>
      <c r="E43" s="183"/>
      <c r="F43" s="182"/>
      <c r="G43" s="112"/>
      <c r="H43" s="112"/>
      <c r="I43" s="183"/>
      <c r="J43" s="195"/>
      <c r="K43" s="116"/>
      <c r="L43" s="116"/>
      <c r="M43" s="116"/>
      <c r="N43" s="196"/>
    </row>
    <row r="44" spans="2:14" ht="12.6" customHeight="1">
      <c r="B44" s="736"/>
      <c r="C44" s="738"/>
      <c r="D44" s="11" t="s">
        <v>156</v>
      </c>
      <c r="E44" s="183"/>
      <c r="F44" s="182"/>
      <c r="G44" s="112"/>
      <c r="H44" s="112"/>
      <c r="I44" s="183"/>
      <c r="J44" s="195"/>
      <c r="K44" s="116"/>
      <c r="L44" s="116"/>
      <c r="M44" s="116"/>
      <c r="N44" s="196"/>
    </row>
    <row r="45" spans="2:14" ht="12.6" customHeight="1">
      <c r="B45" s="736"/>
      <c r="C45" s="738"/>
      <c r="D45" s="11" t="s">
        <v>157</v>
      </c>
      <c r="E45" s="183"/>
      <c r="F45" s="182"/>
      <c r="G45" s="112"/>
      <c r="H45" s="112"/>
      <c r="I45" s="183"/>
      <c r="J45" s="195"/>
      <c r="K45" s="116"/>
      <c r="L45" s="116"/>
      <c r="M45" s="116"/>
      <c r="N45" s="196"/>
    </row>
    <row r="46" spans="2:14" ht="12.6" customHeight="1" thickBot="1">
      <c r="B46" s="737"/>
      <c r="C46" s="739"/>
      <c r="D46" s="200" t="s">
        <v>158</v>
      </c>
      <c r="E46" s="186"/>
      <c r="F46" s="184"/>
      <c r="G46" s="185"/>
      <c r="H46" s="185"/>
      <c r="I46" s="186"/>
      <c r="J46" s="197"/>
      <c r="K46" s="198"/>
      <c r="L46" s="198"/>
      <c r="M46" s="198"/>
      <c r="N46" s="199"/>
    </row>
    <row r="47" spans="2:14" ht="13.5" thickTop="1"/>
  </sheetData>
  <mergeCells count="15">
    <mergeCell ref="B5:N5"/>
    <mergeCell ref="L7:M7"/>
    <mergeCell ref="B9:C10"/>
    <mergeCell ref="D9:E10"/>
    <mergeCell ref="J9:N9"/>
    <mergeCell ref="F9:I9"/>
    <mergeCell ref="H7:I7"/>
    <mergeCell ref="B38:B46"/>
    <mergeCell ref="C38:C46"/>
    <mergeCell ref="B11:B19"/>
    <mergeCell ref="C11:C19"/>
    <mergeCell ref="B20:B28"/>
    <mergeCell ref="C20:C28"/>
    <mergeCell ref="B29:B37"/>
    <mergeCell ref="C29:C37"/>
  </mergeCells>
  <pageMargins left="0.7" right="0.7" top="0.78740157499999996" bottom="0.78740157499999996" header="0.3" footer="0.3"/>
  <pageSetup paperSize="9"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078B-30AD-4619-ABF4-E9013030DDAF}">
  <dimension ref="B1:T34"/>
  <sheetViews>
    <sheetView showGridLines="0" showRowColHeaders="0" topLeftCell="A2" zoomScale="80" zoomScaleNormal="80" workbookViewId="0"/>
  </sheetViews>
  <sheetFormatPr defaultColWidth="10.85546875" defaultRowHeight="12.75"/>
  <cols>
    <col min="1" max="1" width="2" style="1" customWidth="1"/>
    <col min="2" max="2" width="3.140625" style="5" customWidth="1"/>
    <col min="3" max="3" width="5" style="5" customWidth="1"/>
    <col min="4" max="4" width="14.42578125" style="1" customWidth="1"/>
    <col min="5" max="5" width="9.28515625" style="1" customWidth="1"/>
    <col min="6" max="6" width="8.5703125" style="1" customWidth="1"/>
    <col min="7" max="12" width="10.5703125" style="1" customWidth="1"/>
    <col min="13" max="13" width="10.5703125" style="5" customWidth="1"/>
    <col min="14" max="19" width="10.5703125" style="1" customWidth="1"/>
    <col min="20" max="20" width="8.42578125" style="1" customWidth="1"/>
    <col min="21" max="16384" width="10.85546875" style="1"/>
  </cols>
  <sheetData>
    <row r="1" spans="2:20" ht="5.45" hidden="1" customHeight="1">
      <c r="M1" s="1"/>
      <c r="N1" s="443"/>
      <c r="O1" s="443"/>
      <c r="P1" s="443"/>
      <c r="Q1" s="443"/>
      <c r="R1" s="443"/>
      <c r="S1" s="443"/>
      <c r="T1" s="443"/>
    </row>
    <row r="2" spans="2:20" ht="5.45" customHeight="1">
      <c r="M2" s="1"/>
      <c r="N2" s="443"/>
      <c r="O2" s="443"/>
      <c r="P2" s="443"/>
      <c r="Q2" s="443"/>
      <c r="R2" s="443"/>
      <c r="S2" s="443"/>
      <c r="T2" s="443"/>
    </row>
    <row r="3" spans="2:20" ht="18">
      <c r="B3" s="421" t="s">
        <v>41</v>
      </c>
      <c r="C3" s="421"/>
      <c r="D3" s="6"/>
      <c r="G3" s="3"/>
      <c r="H3" s="3"/>
      <c r="I3" s="3"/>
      <c r="J3" s="3"/>
      <c r="K3" s="4"/>
      <c r="L3" s="3"/>
      <c r="M3" s="4"/>
      <c r="N3" s="443"/>
      <c r="O3" s="443"/>
      <c r="P3" s="443"/>
      <c r="Q3" s="443"/>
      <c r="R3" s="443"/>
      <c r="S3" s="443"/>
      <c r="T3" s="443"/>
    </row>
    <row r="4" spans="2:20" s="8" customFormat="1" ht="21.75" customHeight="1">
      <c r="B4" s="422" t="s">
        <v>456</v>
      </c>
      <c r="C4" s="422"/>
      <c r="D4" s="422"/>
      <c r="E4" s="1"/>
      <c r="F4" s="1"/>
      <c r="G4" s="1"/>
      <c r="H4" s="1"/>
      <c r="I4" s="1"/>
      <c r="J4" s="1"/>
      <c r="K4" s="1"/>
      <c r="L4" s="1"/>
      <c r="M4" s="1"/>
      <c r="N4" s="1"/>
      <c r="O4" s="1"/>
      <c r="P4" s="1"/>
      <c r="Q4" s="1"/>
      <c r="R4" s="1"/>
      <c r="S4" s="1"/>
      <c r="T4" s="1"/>
    </row>
    <row r="5" spans="2:20" ht="21.6" customHeight="1">
      <c r="B5" s="473" t="s">
        <v>457</v>
      </c>
      <c r="C5" s="792"/>
      <c r="D5" s="792"/>
      <c r="E5" s="792"/>
      <c r="F5" s="792"/>
      <c r="G5" s="792"/>
      <c r="H5" s="792"/>
      <c r="I5" s="792"/>
      <c r="J5" s="792"/>
      <c r="K5" s="792"/>
      <c r="L5" s="792"/>
      <c r="M5" s="792"/>
      <c r="N5" s="792"/>
      <c r="O5" s="792"/>
      <c r="P5" s="792"/>
      <c r="Q5" s="792"/>
      <c r="R5" s="792"/>
      <c r="S5" s="792"/>
      <c r="T5" s="793"/>
    </row>
    <row r="6" spans="2:20" ht="8.4499999999999993" customHeight="1">
      <c r="B6" s="26"/>
      <c r="C6" s="13"/>
      <c r="D6" s="13"/>
      <c r="E6" s="13"/>
      <c r="F6" s="13"/>
      <c r="G6" s="13"/>
      <c r="H6" s="13"/>
      <c r="I6" s="13"/>
      <c r="J6" s="13"/>
      <c r="K6" s="13"/>
      <c r="L6" s="13"/>
      <c r="M6" s="13"/>
      <c r="N6" s="13"/>
      <c r="O6" s="13"/>
      <c r="P6" s="13"/>
      <c r="Q6" s="13"/>
      <c r="R6" s="13"/>
      <c r="S6" s="13"/>
      <c r="T6" s="15"/>
    </row>
    <row r="7" spans="2:20" s="8" customFormat="1" ht="17.100000000000001" customHeight="1">
      <c r="B7" s="132"/>
      <c r="C7" s="446"/>
      <c r="D7" s="419" t="s">
        <v>45</v>
      </c>
      <c r="E7" s="565"/>
      <c r="F7" s="565"/>
      <c r="G7" s="565"/>
      <c r="H7" s="565"/>
      <c r="I7" s="565"/>
      <c r="J7" s="565"/>
      <c r="K7" s="565"/>
      <c r="L7" s="133"/>
      <c r="M7" s="446"/>
      <c r="N7" s="419" t="s">
        <v>174</v>
      </c>
      <c r="O7" s="566"/>
      <c r="P7" s="566"/>
      <c r="Q7" s="566"/>
      <c r="R7" s="566"/>
      <c r="S7" s="566"/>
      <c r="T7" s="124"/>
    </row>
    <row r="8" spans="2:20" s="8" customFormat="1" ht="7.5" customHeight="1">
      <c r="B8" s="132"/>
      <c r="C8" s="446"/>
      <c r="D8" s="419"/>
      <c r="E8" s="134"/>
      <c r="F8" s="134"/>
      <c r="G8" s="134"/>
      <c r="H8" s="134"/>
      <c r="I8" s="134"/>
      <c r="J8" s="134"/>
      <c r="K8" s="134"/>
      <c r="L8" s="133"/>
      <c r="M8" s="446"/>
      <c r="N8" s="419"/>
      <c r="O8" s="566"/>
      <c r="P8" s="566"/>
      <c r="Q8" s="566"/>
      <c r="R8" s="566"/>
      <c r="S8" s="566"/>
      <c r="T8" s="124"/>
    </row>
    <row r="9" spans="2:20" s="8" customFormat="1" ht="17.100000000000001" customHeight="1">
      <c r="B9" s="132"/>
      <c r="C9" s="446"/>
      <c r="D9" s="419" t="s">
        <v>458</v>
      </c>
      <c r="E9" s="565"/>
      <c r="F9" s="565"/>
      <c r="G9" s="565"/>
      <c r="H9" s="565"/>
      <c r="I9" s="565"/>
      <c r="J9" s="565"/>
      <c r="K9" s="565"/>
      <c r="L9" s="133"/>
      <c r="M9" s="446"/>
      <c r="N9" s="419"/>
      <c r="O9" s="566"/>
      <c r="P9" s="566"/>
      <c r="Q9" s="566"/>
      <c r="R9" s="566"/>
      <c r="S9" s="566"/>
      <c r="T9" s="124"/>
    </row>
    <row r="10" spans="2:20" ht="6.95" customHeight="1">
      <c r="B10" s="28"/>
      <c r="C10" s="20"/>
      <c r="D10" s="20"/>
      <c r="E10" s="20"/>
      <c r="F10" s="20"/>
      <c r="G10" s="20"/>
      <c r="H10" s="20"/>
      <c r="I10" s="20"/>
      <c r="J10" s="20"/>
      <c r="K10" s="20"/>
      <c r="L10" s="20"/>
      <c r="M10" s="20"/>
      <c r="N10" s="20"/>
      <c r="O10" s="20"/>
      <c r="P10" s="20"/>
      <c r="Q10" s="20"/>
      <c r="R10" s="20"/>
      <c r="S10" s="20"/>
      <c r="T10" s="22"/>
    </row>
    <row r="11" spans="2:20" ht="24" customHeight="1">
      <c r="B11" s="789" t="s">
        <v>459</v>
      </c>
      <c r="C11" s="790"/>
      <c r="D11" s="790"/>
      <c r="E11" s="790"/>
      <c r="F11" s="790"/>
      <c r="G11" s="790"/>
      <c r="H11" s="790"/>
      <c r="I11" s="790"/>
      <c r="J11" s="790"/>
      <c r="K11" s="790"/>
      <c r="L11" s="790"/>
      <c r="M11" s="790"/>
      <c r="N11" s="790"/>
      <c r="O11" s="790"/>
      <c r="P11" s="790"/>
      <c r="Q11" s="790"/>
      <c r="R11" s="790"/>
      <c r="S11" s="790"/>
      <c r="T11" s="791"/>
    </row>
    <row r="12" spans="2:20" ht="3.6" customHeight="1">
      <c r="B12" s="304"/>
      <c r="C12" s="294"/>
      <c r="D12" s="295"/>
      <c r="E12" s="295"/>
      <c r="F12" s="296"/>
      <c r="G12" s="296"/>
      <c r="H12" s="296"/>
      <c r="I12" s="440"/>
      <c r="J12" s="440"/>
      <c r="K12" s="440"/>
      <c r="L12" s="440"/>
      <c r="M12" s="292"/>
      <c r="N12" s="293"/>
      <c r="O12" s="440"/>
      <c r="P12" s="440"/>
      <c r="Q12" s="440"/>
      <c r="R12" s="440"/>
      <c r="S12" s="440"/>
      <c r="T12" s="303"/>
    </row>
    <row r="13" spans="2:20" ht="18" customHeight="1">
      <c r="B13" s="305"/>
      <c r="C13" s="297" t="s">
        <v>460</v>
      </c>
      <c r="D13" s="298" t="s">
        <v>461</v>
      </c>
      <c r="E13" s="532" t="s">
        <v>462</v>
      </c>
      <c r="F13" s="532"/>
      <c r="G13" s="361"/>
      <c r="H13" s="446" t="s">
        <v>463</v>
      </c>
      <c r="I13" s="532" t="s">
        <v>420</v>
      </c>
      <c r="J13" s="532"/>
      <c r="K13" s="361"/>
      <c r="L13" s="446" t="s">
        <v>463</v>
      </c>
      <c r="M13" s="532" t="s">
        <v>419</v>
      </c>
      <c r="N13" s="532"/>
      <c r="O13" s="361"/>
      <c r="P13" s="446" t="s">
        <v>463</v>
      </c>
      <c r="Q13" s="532" t="s">
        <v>464</v>
      </c>
      <c r="R13" s="532"/>
      <c r="S13" s="362"/>
      <c r="T13" s="272" t="s">
        <v>465</v>
      </c>
    </row>
    <row r="14" spans="2:20" ht="9.9499999999999993" customHeight="1">
      <c r="B14" s="305"/>
      <c r="C14" s="297"/>
      <c r="D14" s="298"/>
      <c r="E14" s="419"/>
      <c r="F14" s="419"/>
      <c r="G14" s="296"/>
      <c r="H14" s="296"/>
      <c r="I14" s="419"/>
      <c r="J14" s="419"/>
      <c r="K14" s="296"/>
      <c r="L14" s="296"/>
      <c r="M14" s="299"/>
      <c r="N14" s="419"/>
      <c r="O14" s="296"/>
      <c r="P14" s="296"/>
      <c r="Q14" s="419"/>
      <c r="R14" s="419"/>
      <c r="S14" s="440"/>
      <c r="T14" s="303"/>
    </row>
    <row r="15" spans="2:20" ht="18" customHeight="1">
      <c r="B15" s="305"/>
      <c r="C15" s="297" t="s">
        <v>466</v>
      </c>
      <c r="D15" s="298" t="s">
        <v>467</v>
      </c>
      <c r="E15" s="532" t="s">
        <v>468</v>
      </c>
      <c r="F15" s="531"/>
      <c r="G15" s="363"/>
      <c r="H15" s="446" t="s">
        <v>469</v>
      </c>
      <c r="I15" s="532" t="s">
        <v>470</v>
      </c>
      <c r="J15" s="532"/>
      <c r="K15" s="363"/>
      <c r="L15" s="446" t="s">
        <v>471</v>
      </c>
      <c r="M15" s="532" t="s">
        <v>472</v>
      </c>
      <c r="N15" s="532"/>
      <c r="O15" s="363"/>
      <c r="P15" s="446" t="s">
        <v>471</v>
      </c>
      <c r="Q15" s="532" t="s">
        <v>473</v>
      </c>
      <c r="R15" s="532"/>
      <c r="S15" s="364"/>
      <c r="T15" s="272" t="s">
        <v>474</v>
      </c>
    </row>
    <row r="16" spans="2:20" ht="9.9499999999999993" customHeight="1">
      <c r="B16" s="305"/>
      <c r="C16" s="297"/>
      <c r="D16" s="298"/>
      <c r="E16" s="295"/>
      <c r="F16" s="296"/>
      <c r="G16" s="296"/>
      <c r="H16" s="296"/>
      <c r="I16" s="440"/>
      <c r="J16" s="440"/>
      <c r="K16" s="440"/>
      <c r="L16" s="440"/>
      <c r="M16" s="292"/>
      <c r="N16" s="293"/>
      <c r="O16" s="440"/>
      <c r="P16" s="440"/>
      <c r="Q16" s="440"/>
      <c r="R16" s="440"/>
      <c r="S16" s="440"/>
      <c r="T16" s="303"/>
    </row>
    <row r="17" spans="2:20" ht="18" customHeight="1">
      <c r="B17" s="305"/>
      <c r="C17" s="297" t="s">
        <v>475</v>
      </c>
      <c r="D17" s="298" t="s">
        <v>476</v>
      </c>
      <c r="E17" s="295"/>
      <c r="F17" s="296"/>
      <c r="G17" s="371" t="s">
        <v>477</v>
      </c>
      <c r="H17" s="368" t="s">
        <v>478</v>
      </c>
      <c r="I17" s="300">
        <v>10</v>
      </c>
      <c r="J17" s="300">
        <v>20</v>
      </c>
      <c r="K17" s="300">
        <v>30</v>
      </c>
      <c r="L17" s="300">
        <v>40</v>
      </c>
      <c r="M17" s="300">
        <v>50</v>
      </c>
      <c r="N17" s="300">
        <v>60</v>
      </c>
      <c r="O17" s="300">
        <v>70</v>
      </c>
      <c r="P17" s="300">
        <v>80</v>
      </c>
      <c r="Q17" s="300">
        <v>90</v>
      </c>
      <c r="R17" s="300">
        <v>100</v>
      </c>
      <c r="S17" s="300" t="s">
        <v>479</v>
      </c>
      <c r="T17" s="272" t="s">
        <v>480</v>
      </c>
    </row>
    <row r="18" spans="2:20" ht="9.9499999999999993" customHeight="1">
      <c r="B18" s="304"/>
      <c r="C18" s="294"/>
      <c r="D18" s="295"/>
      <c r="E18" s="295"/>
      <c r="F18" s="296"/>
      <c r="G18" s="372"/>
      <c r="H18" s="440"/>
      <c r="I18" s="440"/>
      <c r="J18" s="440"/>
      <c r="K18" s="440"/>
      <c r="L18" s="292"/>
      <c r="M18" s="293"/>
      <c r="N18" s="440"/>
      <c r="O18" s="440"/>
      <c r="P18" s="440"/>
      <c r="Q18" s="440"/>
      <c r="R18" s="440"/>
      <c r="S18" s="440"/>
      <c r="T18" s="303"/>
    </row>
    <row r="19" spans="2:20" ht="18" customHeight="1">
      <c r="B19" s="304"/>
      <c r="C19" s="294"/>
      <c r="D19" s="295"/>
      <c r="E19" s="295"/>
      <c r="F19" s="296"/>
      <c r="G19" s="371" t="s">
        <v>481</v>
      </c>
      <c r="H19" s="368" t="s">
        <v>478</v>
      </c>
      <c r="I19" s="300">
        <v>10</v>
      </c>
      <c r="J19" s="300">
        <v>20</v>
      </c>
      <c r="K19" s="300">
        <v>30</v>
      </c>
      <c r="L19" s="300">
        <v>40</v>
      </c>
      <c r="M19" s="300">
        <v>50</v>
      </c>
      <c r="N19" s="300">
        <v>60</v>
      </c>
      <c r="O19" s="300">
        <v>70</v>
      </c>
      <c r="P19" s="300">
        <v>80</v>
      </c>
      <c r="Q19" s="300">
        <v>90</v>
      </c>
      <c r="R19" s="300">
        <v>100</v>
      </c>
      <c r="S19" s="300" t="s">
        <v>479</v>
      </c>
      <c r="T19" s="272" t="s">
        <v>480</v>
      </c>
    </row>
    <row r="20" spans="2:20" ht="9.9499999999999993" customHeight="1">
      <c r="B20" s="304"/>
      <c r="C20" s="294"/>
      <c r="D20" s="295"/>
      <c r="E20" s="295"/>
      <c r="F20" s="296"/>
      <c r="G20" s="372"/>
      <c r="H20" s="440"/>
      <c r="I20" s="440"/>
      <c r="J20" s="440"/>
      <c r="K20" s="440"/>
      <c r="L20" s="292"/>
      <c r="M20" s="293"/>
      <c r="N20" s="440"/>
      <c r="O20" s="440"/>
      <c r="P20" s="440"/>
      <c r="Q20" s="440"/>
      <c r="R20" s="440"/>
      <c r="S20" s="440"/>
      <c r="T20" s="303"/>
    </row>
    <row r="21" spans="2:20" ht="18" customHeight="1">
      <c r="B21" s="304"/>
      <c r="C21" s="294"/>
      <c r="D21" s="295"/>
      <c r="E21" s="295"/>
      <c r="F21" s="296"/>
      <c r="G21" s="371" t="s">
        <v>482</v>
      </c>
      <c r="H21" s="368" t="s">
        <v>478</v>
      </c>
      <c r="I21" s="300">
        <v>10</v>
      </c>
      <c r="J21" s="300">
        <v>20</v>
      </c>
      <c r="K21" s="300">
        <v>30</v>
      </c>
      <c r="L21" s="300">
        <v>40</v>
      </c>
      <c r="M21" s="300">
        <v>50</v>
      </c>
      <c r="N21" s="300">
        <v>60</v>
      </c>
      <c r="O21" s="300">
        <v>70</v>
      </c>
      <c r="P21" s="300">
        <v>80</v>
      </c>
      <c r="Q21" s="300">
        <v>90</v>
      </c>
      <c r="R21" s="300">
        <v>100</v>
      </c>
      <c r="S21" s="300" t="s">
        <v>479</v>
      </c>
      <c r="T21" s="272" t="s">
        <v>480</v>
      </c>
    </row>
    <row r="22" spans="2:20" ht="9.9499999999999993" customHeight="1">
      <c r="B22" s="304"/>
      <c r="C22" s="294"/>
      <c r="D22" s="295"/>
      <c r="E22" s="295"/>
      <c r="F22" s="296"/>
      <c r="G22" s="372"/>
      <c r="H22" s="440"/>
      <c r="I22" s="440"/>
      <c r="J22" s="440"/>
      <c r="K22" s="440"/>
      <c r="L22" s="292"/>
      <c r="M22" s="293"/>
      <c r="N22" s="440"/>
      <c r="O22" s="440"/>
      <c r="P22" s="440"/>
      <c r="Q22" s="440"/>
      <c r="R22" s="440"/>
      <c r="S22" s="440"/>
      <c r="T22" s="303"/>
    </row>
    <row r="23" spans="2:20" ht="18" customHeight="1">
      <c r="B23" s="304"/>
      <c r="C23" s="294"/>
      <c r="D23" s="295"/>
      <c r="E23" s="295"/>
      <c r="F23" s="296"/>
      <c r="G23" s="371" t="s">
        <v>483</v>
      </c>
      <c r="H23" s="368" t="s">
        <v>478</v>
      </c>
      <c r="I23" s="300">
        <v>10</v>
      </c>
      <c r="J23" s="300">
        <v>20</v>
      </c>
      <c r="K23" s="300">
        <v>30</v>
      </c>
      <c r="L23" s="300">
        <v>40</v>
      </c>
      <c r="M23" s="300">
        <v>50</v>
      </c>
      <c r="N23" s="300">
        <v>60</v>
      </c>
      <c r="O23" s="300">
        <v>70</v>
      </c>
      <c r="P23" s="300">
        <v>80</v>
      </c>
      <c r="Q23" s="300">
        <v>90</v>
      </c>
      <c r="R23" s="300">
        <v>100</v>
      </c>
      <c r="S23" s="300" t="s">
        <v>479</v>
      </c>
      <c r="T23" s="272" t="s">
        <v>480</v>
      </c>
    </row>
    <row r="24" spans="2:20" ht="9.9499999999999993" customHeight="1">
      <c r="B24" s="304"/>
      <c r="C24" s="294"/>
      <c r="D24" s="295"/>
      <c r="E24" s="295"/>
      <c r="F24" s="296"/>
      <c r="G24" s="296"/>
      <c r="H24" s="296"/>
      <c r="I24" s="440"/>
      <c r="J24" s="440"/>
      <c r="K24" s="440"/>
      <c r="L24" s="440"/>
      <c r="M24" s="292"/>
      <c r="N24" s="293"/>
      <c r="O24" s="440"/>
      <c r="P24" s="440"/>
      <c r="Q24" s="440"/>
      <c r="R24" s="440"/>
      <c r="S24" s="440"/>
      <c r="T24" s="303"/>
    </row>
    <row r="25" spans="2:20" ht="24" customHeight="1">
      <c r="B25" s="789" t="s">
        <v>484</v>
      </c>
      <c r="C25" s="790"/>
      <c r="D25" s="790"/>
      <c r="E25" s="790"/>
      <c r="F25" s="790"/>
      <c r="G25" s="790"/>
      <c r="H25" s="790"/>
      <c r="I25" s="790"/>
      <c r="J25" s="790"/>
      <c r="K25" s="790"/>
      <c r="L25" s="790"/>
      <c r="M25" s="790"/>
      <c r="N25" s="790"/>
      <c r="O25" s="790"/>
      <c r="P25" s="790"/>
      <c r="Q25" s="790"/>
      <c r="R25" s="790"/>
      <c r="S25" s="790"/>
      <c r="T25" s="791"/>
    </row>
    <row r="26" spans="2:20" ht="6.95" customHeight="1">
      <c r="B26" s="786"/>
      <c r="C26" s="787"/>
      <c r="D26" s="766"/>
      <c r="E26" s="766"/>
      <c r="F26" s="766"/>
      <c r="G26" s="766"/>
      <c r="H26" s="766"/>
      <c r="I26" s="766"/>
      <c r="J26" s="766"/>
      <c r="K26" s="766"/>
      <c r="L26" s="766"/>
      <c r="M26" s="766"/>
      <c r="N26" s="766"/>
      <c r="O26" s="766"/>
      <c r="P26" s="766"/>
      <c r="Q26" s="766"/>
      <c r="R26" s="766"/>
      <c r="S26" s="766"/>
      <c r="T26" s="788"/>
    </row>
    <row r="27" spans="2:20" ht="18" customHeight="1">
      <c r="B27" s="302"/>
      <c r="C27" s="301" t="s">
        <v>485</v>
      </c>
      <c r="D27" s="763" t="s">
        <v>486</v>
      </c>
      <c r="E27" s="764"/>
      <c r="F27" s="764"/>
      <c r="G27" s="764"/>
      <c r="H27" s="764"/>
      <c r="I27" s="764"/>
      <c r="J27" s="532" t="s">
        <v>487</v>
      </c>
      <c r="K27" s="785"/>
      <c r="L27" s="767"/>
      <c r="M27" s="768"/>
      <c r="N27" s="768"/>
      <c r="O27" s="768"/>
      <c r="P27" s="768"/>
      <c r="Q27" s="768"/>
      <c r="R27" s="768"/>
      <c r="S27" s="769"/>
      <c r="T27" s="303"/>
    </row>
    <row r="28" spans="2:20" ht="18" customHeight="1">
      <c r="B28" s="302"/>
      <c r="C28" s="301" t="s">
        <v>485</v>
      </c>
      <c r="D28" s="763" t="s">
        <v>488</v>
      </c>
      <c r="E28" s="764"/>
      <c r="F28" s="764"/>
      <c r="G28" s="764"/>
      <c r="H28" s="764"/>
      <c r="I28" s="764"/>
      <c r="J28" s="533"/>
      <c r="K28" s="785"/>
      <c r="L28" s="770"/>
      <c r="M28" s="771"/>
      <c r="N28" s="771"/>
      <c r="O28" s="771"/>
      <c r="P28" s="771"/>
      <c r="Q28" s="771"/>
      <c r="R28" s="771"/>
      <c r="S28" s="772"/>
      <c r="T28" s="303"/>
    </row>
    <row r="29" spans="2:20" ht="18" customHeight="1">
      <c r="B29" s="302"/>
      <c r="C29" s="301" t="s">
        <v>485</v>
      </c>
      <c r="D29" s="763" t="s">
        <v>489</v>
      </c>
      <c r="E29" s="764"/>
      <c r="F29" s="764"/>
      <c r="G29" s="764"/>
      <c r="H29" s="764"/>
      <c r="I29" s="764"/>
      <c r="J29" s="533"/>
      <c r="K29" s="785"/>
      <c r="L29" s="773"/>
      <c r="M29" s="774"/>
      <c r="N29" s="774"/>
      <c r="O29" s="774"/>
      <c r="P29" s="774"/>
      <c r="Q29" s="774"/>
      <c r="R29" s="774"/>
      <c r="S29" s="775"/>
      <c r="T29" s="303"/>
    </row>
    <row r="30" spans="2:20" ht="18" customHeight="1">
      <c r="B30" s="302"/>
      <c r="C30" s="301" t="s">
        <v>485</v>
      </c>
      <c r="D30" s="438" t="s">
        <v>490</v>
      </c>
      <c r="E30" s="439"/>
      <c r="F30" s="439"/>
      <c r="G30" s="439"/>
      <c r="H30" s="439"/>
      <c r="I30" s="439"/>
      <c r="J30" s="440"/>
      <c r="K30" s="419"/>
      <c r="L30" s="765"/>
      <c r="M30" s="766"/>
      <c r="N30" s="766"/>
      <c r="O30" s="766"/>
      <c r="P30" s="765"/>
      <c r="Q30" s="766"/>
      <c r="R30" s="766"/>
      <c r="S30" s="766"/>
      <c r="T30" s="303"/>
    </row>
    <row r="31" spans="2:20" ht="18" customHeight="1">
      <c r="B31" s="302"/>
      <c r="C31" s="301" t="s">
        <v>485</v>
      </c>
      <c r="D31" s="438" t="s">
        <v>491</v>
      </c>
      <c r="E31" s="439"/>
      <c r="F31" s="439"/>
      <c r="G31" s="439"/>
      <c r="H31" s="439"/>
      <c r="I31" s="439"/>
      <c r="J31" s="532" t="s">
        <v>492</v>
      </c>
      <c r="K31" s="785"/>
      <c r="L31" s="776"/>
      <c r="M31" s="777"/>
      <c r="N31" s="777"/>
      <c r="O31" s="777"/>
      <c r="P31" s="777"/>
      <c r="Q31" s="777"/>
      <c r="R31" s="777"/>
      <c r="S31" s="778"/>
      <c r="T31" s="303"/>
    </row>
    <row r="32" spans="2:20" ht="18" customHeight="1">
      <c r="B32" s="302"/>
      <c r="C32" s="301" t="s">
        <v>485</v>
      </c>
      <c r="D32" s="763" t="s">
        <v>493</v>
      </c>
      <c r="E32" s="764"/>
      <c r="F32" s="764"/>
      <c r="G32" s="764"/>
      <c r="H32" s="764"/>
      <c r="I32" s="764"/>
      <c r="J32" s="533"/>
      <c r="K32" s="785"/>
      <c r="L32" s="779"/>
      <c r="M32" s="780"/>
      <c r="N32" s="780"/>
      <c r="O32" s="780"/>
      <c r="P32" s="780"/>
      <c r="Q32" s="780"/>
      <c r="R32" s="780"/>
      <c r="S32" s="781"/>
      <c r="T32" s="303"/>
    </row>
    <row r="33" spans="2:20" ht="18" customHeight="1">
      <c r="B33" s="302"/>
      <c r="C33" s="301" t="s">
        <v>485</v>
      </c>
      <c r="D33" s="763" t="s">
        <v>494</v>
      </c>
      <c r="E33" s="764"/>
      <c r="F33" s="764"/>
      <c r="G33" s="764"/>
      <c r="H33" s="764"/>
      <c r="I33" s="764"/>
      <c r="J33" s="533"/>
      <c r="K33" s="785"/>
      <c r="L33" s="782"/>
      <c r="M33" s="783"/>
      <c r="N33" s="783"/>
      <c r="O33" s="783"/>
      <c r="P33" s="783"/>
      <c r="Q33" s="783"/>
      <c r="R33" s="783"/>
      <c r="S33" s="784"/>
      <c r="T33" s="303"/>
    </row>
    <row r="34" spans="2:20" ht="9.9499999999999993" customHeight="1">
      <c r="B34" s="759"/>
      <c r="C34" s="760"/>
      <c r="D34" s="761"/>
      <c r="E34" s="761"/>
      <c r="F34" s="761"/>
      <c r="G34" s="761"/>
      <c r="H34" s="761"/>
      <c r="I34" s="761"/>
      <c r="J34" s="761"/>
      <c r="K34" s="761"/>
      <c r="L34" s="761"/>
      <c r="M34" s="761"/>
      <c r="N34" s="761"/>
      <c r="O34" s="761"/>
      <c r="P34" s="761"/>
      <c r="Q34" s="761"/>
      <c r="R34" s="761"/>
      <c r="S34" s="761"/>
      <c r="T34" s="762"/>
    </row>
  </sheetData>
  <mergeCells count="27">
    <mergeCell ref="B5:T5"/>
    <mergeCell ref="E7:K7"/>
    <mergeCell ref="O7:S9"/>
    <mergeCell ref="E9:K9"/>
    <mergeCell ref="B11:T11"/>
    <mergeCell ref="I13:J13"/>
    <mergeCell ref="E13:F13"/>
    <mergeCell ref="M13:N13"/>
    <mergeCell ref="B26:T26"/>
    <mergeCell ref="Q13:R13"/>
    <mergeCell ref="I15:J15"/>
    <mergeCell ref="M15:N15"/>
    <mergeCell ref="Q15:R15"/>
    <mergeCell ref="B25:T25"/>
    <mergeCell ref="E15:F15"/>
    <mergeCell ref="B34:T34"/>
    <mergeCell ref="D27:I27"/>
    <mergeCell ref="D28:I28"/>
    <mergeCell ref="D29:I29"/>
    <mergeCell ref="D32:I32"/>
    <mergeCell ref="L30:O30"/>
    <mergeCell ref="L27:S29"/>
    <mergeCell ref="L31:S33"/>
    <mergeCell ref="D33:I33"/>
    <mergeCell ref="J31:K33"/>
    <mergeCell ref="J27:K29"/>
    <mergeCell ref="P30:S30"/>
  </mergeCells>
  <pageMargins left="0.7" right="0.7" top="0.78740157499999996" bottom="0.78740157499999996" header="0.3" footer="0.3"/>
  <pageSetup paperSize="9" orientation="portrait"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95113-3C1F-4621-B2E0-7F9E5E920108}">
  <sheetPr>
    <pageSetUpPr fitToPage="1"/>
  </sheetPr>
  <dimension ref="A1:J21"/>
  <sheetViews>
    <sheetView showGridLines="0" showRowColHeaders="0" zoomScale="90" zoomScaleNormal="90" workbookViewId="0"/>
  </sheetViews>
  <sheetFormatPr defaultColWidth="10.85546875" defaultRowHeight="12.75"/>
  <cols>
    <col min="1" max="1" width="2" style="1" customWidth="1"/>
    <col min="2" max="2" width="5.42578125" style="1" customWidth="1"/>
    <col min="3" max="3" width="14.42578125" style="1" customWidth="1"/>
    <col min="4" max="4" width="21.7109375" style="1" customWidth="1"/>
    <col min="5" max="8" width="25.5703125" style="1" customWidth="1"/>
    <col min="9" max="16384" width="10.85546875" style="1"/>
  </cols>
  <sheetData>
    <row r="1" spans="1:10" customFormat="1" ht="6.6" customHeight="1">
      <c r="A1" s="1"/>
      <c r="B1" s="1"/>
      <c r="C1" s="1"/>
      <c r="D1" s="1"/>
      <c r="E1" s="1"/>
      <c r="F1" s="1"/>
      <c r="G1" s="1"/>
      <c r="H1" s="1"/>
      <c r="I1" s="1"/>
      <c r="J1" s="1"/>
    </row>
    <row r="2" spans="1:10" customFormat="1" ht="18">
      <c r="A2" s="1"/>
      <c r="B2" s="421" t="s">
        <v>495</v>
      </c>
      <c r="C2" s="1"/>
      <c r="D2" s="1"/>
      <c r="E2" s="1"/>
      <c r="F2" s="3"/>
      <c r="G2" s="3"/>
      <c r="H2" s="4"/>
      <c r="I2" s="3"/>
      <c r="J2" s="4"/>
    </row>
    <row r="3" spans="1:10" ht="8.4499999999999993" customHeight="1"/>
    <row r="4" spans="1:10" ht="21" customHeight="1">
      <c r="B4" s="450" t="s">
        <v>44</v>
      </c>
      <c r="C4" s="712"/>
      <c r="D4" s="712"/>
      <c r="E4" s="712"/>
      <c r="F4" s="712"/>
      <c r="G4" s="712"/>
      <c r="H4" s="713"/>
    </row>
    <row r="5" spans="1:10" ht="8.4499999999999993" customHeight="1">
      <c r="B5" s="12"/>
      <c r="C5" s="13"/>
      <c r="D5" s="13"/>
      <c r="E5" s="13"/>
      <c r="F5" s="14"/>
      <c r="G5" s="13"/>
      <c r="H5" s="15"/>
    </row>
    <row r="6" spans="1:10" ht="20.100000000000001" customHeight="1">
      <c r="B6" s="530" t="s">
        <v>45</v>
      </c>
      <c r="C6" s="533"/>
      <c r="D6" s="454" t="s">
        <v>496</v>
      </c>
      <c r="E6" s="455"/>
      <c r="F6" s="419" t="s">
        <v>46</v>
      </c>
      <c r="G6" s="75" t="s">
        <v>497</v>
      </c>
      <c r="H6" s="18"/>
    </row>
    <row r="7" spans="1:10" ht="9" customHeight="1">
      <c r="B7" s="19"/>
      <c r="C7" s="20"/>
      <c r="D7" s="20"/>
      <c r="E7" s="20"/>
      <c r="F7" s="21"/>
      <c r="G7" s="20"/>
      <c r="H7" s="22"/>
    </row>
    <row r="8" spans="1:10" ht="20.100000000000001" customHeight="1">
      <c r="B8" s="173" t="s">
        <v>5</v>
      </c>
      <c r="C8" s="698" t="s">
        <v>47</v>
      </c>
      <c r="D8" s="511"/>
      <c r="E8" s="430" t="s">
        <v>48</v>
      </c>
      <c r="F8" s="430" t="s">
        <v>49</v>
      </c>
      <c r="G8" s="430" t="s">
        <v>50</v>
      </c>
      <c r="H8" s="430" t="s">
        <v>51</v>
      </c>
    </row>
    <row r="9" spans="1:10" ht="18" customHeight="1">
      <c r="B9" s="426">
        <v>1</v>
      </c>
      <c r="C9" s="458" t="s">
        <v>498</v>
      </c>
      <c r="D9" s="459"/>
      <c r="E9" s="73" t="s">
        <v>499</v>
      </c>
      <c r="F9" s="73" t="s">
        <v>500</v>
      </c>
      <c r="G9" s="73" t="s">
        <v>501</v>
      </c>
      <c r="H9" s="409" t="s">
        <v>502</v>
      </c>
    </row>
    <row r="10" spans="1:10" ht="18" customHeight="1">
      <c r="B10" s="426">
        <f>B9+1</f>
        <v>2</v>
      </c>
      <c r="C10" s="458" t="s">
        <v>503</v>
      </c>
      <c r="D10" s="459"/>
      <c r="E10" s="73" t="s">
        <v>504</v>
      </c>
      <c r="F10" s="73" t="s">
        <v>505</v>
      </c>
      <c r="G10" s="73" t="s">
        <v>506</v>
      </c>
      <c r="H10" s="409" t="s">
        <v>507</v>
      </c>
    </row>
    <row r="11" spans="1:10" ht="18" customHeight="1">
      <c r="B11" s="426">
        <f t="shared" ref="B11:B16" si="0">B10+1</f>
        <v>3</v>
      </c>
      <c r="C11" s="458" t="s">
        <v>508</v>
      </c>
      <c r="D11" s="459"/>
      <c r="E11" s="73" t="s">
        <v>509</v>
      </c>
      <c r="F11" s="73" t="s">
        <v>510</v>
      </c>
      <c r="G11" s="73" t="s">
        <v>511</v>
      </c>
      <c r="H11" s="409" t="s">
        <v>512</v>
      </c>
    </row>
    <row r="12" spans="1:10" ht="18" customHeight="1">
      <c r="B12" s="426">
        <f t="shared" si="0"/>
        <v>4</v>
      </c>
      <c r="C12" s="458" t="s">
        <v>513</v>
      </c>
      <c r="D12" s="459"/>
      <c r="E12" s="73" t="s">
        <v>514</v>
      </c>
      <c r="F12" s="73" t="s">
        <v>515</v>
      </c>
      <c r="G12" s="73" t="s">
        <v>516</v>
      </c>
      <c r="H12" s="409" t="s">
        <v>517</v>
      </c>
    </row>
    <row r="13" spans="1:10" ht="18" customHeight="1">
      <c r="B13" s="426">
        <f t="shared" si="0"/>
        <v>5</v>
      </c>
      <c r="C13" s="458" t="s">
        <v>518</v>
      </c>
      <c r="D13" s="459"/>
      <c r="E13" s="73" t="s">
        <v>519</v>
      </c>
      <c r="F13" s="73" t="s">
        <v>520</v>
      </c>
      <c r="G13" s="73" t="s">
        <v>521</v>
      </c>
      <c r="H13" s="409" t="s">
        <v>522</v>
      </c>
    </row>
    <row r="14" spans="1:10" ht="18" customHeight="1">
      <c r="B14" s="426">
        <f t="shared" si="0"/>
        <v>6</v>
      </c>
      <c r="C14" s="458" t="s">
        <v>523</v>
      </c>
      <c r="D14" s="459"/>
      <c r="E14" s="73" t="s">
        <v>524</v>
      </c>
      <c r="F14" s="73" t="s">
        <v>525</v>
      </c>
      <c r="G14" s="73" t="s">
        <v>526</v>
      </c>
      <c r="H14" s="409" t="s">
        <v>527</v>
      </c>
    </row>
    <row r="15" spans="1:10" ht="18" customHeight="1">
      <c r="B15" s="426">
        <f t="shared" si="0"/>
        <v>7</v>
      </c>
      <c r="C15" s="458" t="s">
        <v>379</v>
      </c>
      <c r="D15" s="459"/>
      <c r="E15" s="73" t="s">
        <v>528</v>
      </c>
      <c r="F15" s="73" t="s">
        <v>529</v>
      </c>
      <c r="G15" s="73" t="s">
        <v>530</v>
      </c>
      <c r="H15" s="409" t="s">
        <v>531</v>
      </c>
    </row>
    <row r="16" spans="1:10" ht="18" customHeight="1">
      <c r="B16" s="426">
        <f t="shared" si="0"/>
        <v>8</v>
      </c>
      <c r="C16" s="458" t="s">
        <v>532</v>
      </c>
      <c r="D16" s="459"/>
      <c r="E16" s="73" t="s">
        <v>533</v>
      </c>
      <c r="F16" s="73" t="s">
        <v>534</v>
      </c>
      <c r="G16" s="73" t="s">
        <v>535</v>
      </c>
      <c r="H16" s="409" t="s">
        <v>536</v>
      </c>
    </row>
    <row r="17" spans="2:8" ht="20.100000000000001" customHeight="1">
      <c r="B17" s="456" t="s">
        <v>52</v>
      </c>
      <c r="C17" s="457"/>
      <c r="D17" s="457"/>
      <c r="E17" s="457"/>
      <c r="F17" s="457"/>
      <c r="G17" s="457"/>
      <c r="H17" s="794"/>
    </row>
    <row r="18" spans="2:8" ht="15">
      <c r="B18" s="424" t="s">
        <v>5</v>
      </c>
      <c r="C18" s="460" t="s">
        <v>53</v>
      </c>
      <c r="D18" s="461"/>
      <c r="E18" s="426" t="s">
        <v>54</v>
      </c>
      <c r="F18" s="426" t="s">
        <v>55</v>
      </c>
      <c r="G18" s="426" t="s">
        <v>50</v>
      </c>
      <c r="H18" s="426" t="s">
        <v>51</v>
      </c>
    </row>
    <row r="19" spans="2:8" ht="18" customHeight="1">
      <c r="B19" s="426">
        <v>1</v>
      </c>
      <c r="C19" s="458" t="s">
        <v>537</v>
      </c>
      <c r="D19" s="459"/>
      <c r="E19" s="73" t="s">
        <v>538</v>
      </c>
      <c r="F19" s="73" t="s">
        <v>539</v>
      </c>
      <c r="G19" s="73" t="s">
        <v>540</v>
      </c>
      <c r="H19" s="410" t="s">
        <v>541</v>
      </c>
    </row>
    <row r="20" spans="2:8" ht="18" customHeight="1">
      <c r="B20" s="426">
        <f>B19+1</f>
        <v>2</v>
      </c>
      <c r="C20" s="458" t="s">
        <v>542</v>
      </c>
      <c r="D20" s="459"/>
      <c r="E20" s="73" t="s">
        <v>543</v>
      </c>
      <c r="F20" s="73" t="s">
        <v>544</v>
      </c>
      <c r="G20" s="73" t="s">
        <v>526</v>
      </c>
      <c r="H20" s="410" t="s">
        <v>527</v>
      </c>
    </row>
    <row r="21" spans="2:8" ht="18" customHeight="1">
      <c r="B21" s="426">
        <f t="shared" ref="B21" si="1">B20+1</f>
        <v>3</v>
      </c>
      <c r="C21" s="458" t="s">
        <v>545</v>
      </c>
      <c r="D21" s="459"/>
      <c r="E21" s="73" t="s">
        <v>546</v>
      </c>
      <c r="F21" s="73" t="s">
        <v>547</v>
      </c>
      <c r="G21" s="73" t="s">
        <v>548</v>
      </c>
      <c r="H21" s="410" t="s">
        <v>549</v>
      </c>
    </row>
  </sheetData>
  <mergeCells count="17">
    <mergeCell ref="C21:D21"/>
    <mergeCell ref="C13:D13"/>
    <mergeCell ref="C14:D14"/>
    <mergeCell ref="C15:D15"/>
    <mergeCell ref="C16:D16"/>
    <mergeCell ref="B17:H17"/>
    <mergeCell ref="C18:D18"/>
    <mergeCell ref="C19:D19"/>
    <mergeCell ref="C20:D20"/>
    <mergeCell ref="C10:D10"/>
    <mergeCell ref="C11:D11"/>
    <mergeCell ref="C12:D12"/>
    <mergeCell ref="B4:H4"/>
    <mergeCell ref="B6:C6"/>
    <mergeCell ref="D6:E6"/>
    <mergeCell ref="C8:D8"/>
    <mergeCell ref="C9:D9"/>
  </mergeCells>
  <pageMargins left="0.70866141732283472" right="0.51181102362204722" top="0.59055118110236227" bottom="0.59055118110236227" header="0.31496062992125984" footer="0.31496062992125984"/>
  <pageSetup paperSize="9" scale="60"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C6D77-1815-4A53-B9EE-5BE921E75D71}">
  <sheetPr>
    <pageSetUpPr fitToPage="1"/>
  </sheetPr>
  <dimension ref="A1:P113"/>
  <sheetViews>
    <sheetView showGridLines="0" showRowColHeaders="0" zoomScale="80" zoomScaleNormal="80" workbookViewId="0"/>
  </sheetViews>
  <sheetFormatPr defaultColWidth="10.85546875" defaultRowHeight="12.75"/>
  <cols>
    <col min="1" max="1" width="1.7109375" style="1" customWidth="1"/>
    <col min="2" max="2" width="5" style="2" customWidth="1"/>
    <col min="3" max="6" width="20.5703125" style="1" customWidth="1"/>
    <col min="7" max="7" width="14.85546875" style="1" customWidth="1"/>
    <col min="8" max="8" width="12.85546875" style="1" customWidth="1"/>
    <col min="9" max="9" width="15.85546875" style="1" customWidth="1"/>
    <col min="10" max="10" width="2.5703125" style="1" customWidth="1"/>
    <col min="11" max="16384" width="10.85546875" style="1"/>
  </cols>
  <sheetData>
    <row r="1" spans="1:16" customFormat="1" ht="6.6" customHeight="1">
      <c r="A1" s="1"/>
      <c r="B1" s="1"/>
      <c r="C1" s="1"/>
      <c r="D1" s="1"/>
      <c r="E1" s="1"/>
      <c r="F1" s="1"/>
      <c r="G1" s="1"/>
      <c r="H1" s="1"/>
      <c r="I1" s="1"/>
      <c r="J1" s="1"/>
      <c r="K1" s="443"/>
      <c r="L1" s="443"/>
      <c r="M1" s="443"/>
      <c r="N1" s="443"/>
      <c r="O1" s="443"/>
      <c r="P1" s="443"/>
    </row>
    <row r="2" spans="1:16" customFormat="1" ht="18">
      <c r="A2" s="1"/>
      <c r="B2" s="421" t="s">
        <v>550</v>
      </c>
      <c r="C2" s="1"/>
      <c r="D2" s="1"/>
      <c r="E2" s="1"/>
      <c r="F2" s="3"/>
      <c r="G2" s="3"/>
      <c r="H2" s="4"/>
      <c r="I2" s="3"/>
      <c r="J2" s="4"/>
      <c r="K2" s="443"/>
      <c r="L2" s="443"/>
      <c r="M2" s="443"/>
      <c r="N2" s="443"/>
      <c r="O2" s="443"/>
      <c r="P2" s="443"/>
    </row>
    <row r="3" spans="1:16" ht="6.95" customHeight="1"/>
    <row r="4" spans="1:16" s="8" customFormat="1" ht="10.5" customHeight="1">
      <c r="A4" s="1"/>
      <c r="B4" s="43"/>
      <c r="C4" s="44"/>
      <c r="D4" s="45"/>
      <c r="E4" s="44"/>
      <c r="F4" s="44"/>
      <c r="G4" s="44"/>
      <c r="H4" s="44"/>
      <c r="I4" s="46"/>
      <c r="J4" s="24"/>
      <c r="K4" s="422"/>
      <c r="L4" s="422"/>
      <c r="M4" s="422"/>
      <c r="N4" s="422"/>
      <c r="O4" s="422"/>
      <c r="P4" s="422"/>
    </row>
    <row r="5" spans="1:16" ht="21" customHeight="1">
      <c r="B5" s="413"/>
      <c r="C5" s="419" t="s">
        <v>45</v>
      </c>
      <c r="D5" s="795" t="s">
        <v>496</v>
      </c>
      <c r="E5" s="795"/>
      <c r="F5" s="795"/>
      <c r="G5" s="47" t="s">
        <v>57</v>
      </c>
      <c r="H5" s="79">
        <v>44901</v>
      </c>
      <c r="I5" s="48"/>
    </row>
    <row r="6" spans="1:16" ht="9.6" customHeight="1">
      <c r="B6" s="414"/>
      <c r="C6" s="49"/>
      <c r="D6" s="50"/>
      <c r="E6" s="51"/>
      <c r="F6" s="49"/>
      <c r="G6" s="51"/>
      <c r="H6" s="49"/>
      <c r="I6" s="52"/>
    </row>
    <row r="7" spans="1:16" ht="17.100000000000001" customHeight="1">
      <c r="A7" s="422"/>
      <c r="B7" s="464" t="s">
        <v>58</v>
      </c>
      <c r="C7" s="466"/>
      <c r="D7" s="466"/>
      <c r="E7" s="466"/>
      <c r="F7" s="466"/>
      <c r="G7" s="466"/>
      <c r="H7" s="466"/>
      <c r="I7" s="467"/>
    </row>
    <row r="8" spans="1:16" ht="16.5" customHeight="1">
      <c r="B8" s="97" t="s">
        <v>59</v>
      </c>
      <c r="C8" s="98" t="s">
        <v>60</v>
      </c>
      <c r="D8" s="99"/>
      <c r="E8" s="99"/>
      <c r="F8" s="99"/>
      <c r="G8" s="82"/>
      <c r="H8" s="83"/>
      <c r="I8" s="84"/>
    </row>
    <row r="9" spans="1:16" ht="15">
      <c r="B9" s="100"/>
      <c r="C9" s="834" t="s">
        <v>61</v>
      </c>
      <c r="D9" s="835"/>
      <c r="E9" s="835"/>
      <c r="F9" s="835"/>
      <c r="G9" s="835"/>
      <c r="H9" s="86"/>
      <c r="I9" s="87"/>
    </row>
    <row r="10" spans="1:16" s="2" customFormat="1" ht="12.6" customHeight="1">
      <c r="A10" s="1"/>
      <c r="B10" s="100"/>
      <c r="C10" s="442" t="s">
        <v>551</v>
      </c>
      <c r="D10" s="442" t="s">
        <v>552</v>
      </c>
      <c r="E10" s="442" t="s">
        <v>553</v>
      </c>
      <c r="F10" s="442" t="s">
        <v>554</v>
      </c>
      <c r="G10" s="1"/>
      <c r="H10" s="88" t="s">
        <v>67</v>
      </c>
      <c r="I10" s="89">
        <v>1</v>
      </c>
    </row>
    <row r="11" spans="1:16" ht="12.6" customHeight="1">
      <c r="B11" s="100"/>
      <c r="C11" s="834" t="s">
        <v>68</v>
      </c>
      <c r="D11" s="835"/>
      <c r="E11" s="835"/>
      <c r="F11" s="835"/>
      <c r="G11" s="835"/>
      <c r="H11" s="86"/>
      <c r="I11" s="90"/>
    </row>
    <row r="12" spans="1:16" ht="12.6" customHeight="1">
      <c r="B12" s="100"/>
      <c r="C12" s="442" t="s">
        <v>555</v>
      </c>
      <c r="D12" s="442" t="s">
        <v>556</v>
      </c>
      <c r="E12" s="442" t="s">
        <v>557</v>
      </c>
      <c r="F12" s="442" t="s">
        <v>558</v>
      </c>
      <c r="G12" s="85"/>
      <c r="H12" s="88" t="s">
        <v>67</v>
      </c>
      <c r="I12" s="89">
        <v>2</v>
      </c>
    </row>
    <row r="13" spans="1:16" ht="12.6" customHeight="1">
      <c r="B13" s="100"/>
      <c r="C13" s="834" t="s">
        <v>73</v>
      </c>
      <c r="D13" s="835"/>
      <c r="E13" s="835"/>
      <c r="F13" s="835"/>
      <c r="G13" s="835"/>
      <c r="H13" s="86"/>
      <c r="I13" s="90"/>
    </row>
    <row r="14" spans="1:16" ht="12.6" customHeight="1" thickBot="1">
      <c r="B14" s="100"/>
      <c r="C14" s="442" t="s">
        <v>555</v>
      </c>
      <c r="D14" s="442" t="s">
        <v>559</v>
      </c>
      <c r="E14" s="442" t="s">
        <v>560</v>
      </c>
      <c r="F14" s="442" t="s">
        <v>558</v>
      </c>
      <c r="G14" s="85"/>
      <c r="H14" s="88" t="s">
        <v>67</v>
      </c>
      <c r="I14" s="395">
        <v>1</v>
      </c>
      <c r="L14" s="442"/>
      <c r="M14" s="442"/>
      <c r="N14" s="442"/>
      <c r="O14" s="442"/>
      <c r="P14" s="85"/>
    </row>
    <row r="15" spans="1:16" ht="15" customHeight="1" thickTop="1" thickBot="1">
      <c r="B15" s="91"/>
      <c r="C15" s="92"/>
      <c r="D15" s="92"/>
      <c r="E15" s="92"/>
      <c r="F15" s="92"/>
      <c r="G15" s="92"/>
      <c r="H15" s="396" t="s">
        <v>74</v>
      </c>
      <c r="I15" s="94">
        <v>4</v>
      </c>
      <c r="L15" s="442"/>
      <c r="M15" s="442"/>
      <c r="N15" s="442"/>
      <c r="O15" s="442"/>
      <c r="P15" s="85"/>
    </row>
    <row r="16" spans="1:16" ht="12.6" customHeight="1" thickTop="1">
      <c r="B16" s="100" t="s">
        <v>75</v>
      </c>
      <c r="C16" s="102" t="s">
        <v>76</v>
      </c>
      <c r="D16" s="442"/>
      <c r="E16" s="442"/>
      <c r="F16" s="442"/>
      <c r="G16" s="85"/>
      <c r="H16" s="86"/>
      <c r="I16" s="90"/>
    </row>
    <row r="17" spans="1:9" ht="12.6" customHeight="1">
      <c r="B17" s="103"/>
      <c r="C17" s="834" t="s">
        <v>77</v>
      </c>
      <c r="D17" s="835"/>
      <c r="E17" s="835"/>
      <c r="F17" s="835"/>
      <c r="G17" s="835"/>
      <c r="H17" s="86"/>
      <c r="I17" s="90"/>
    </row>
    <row r="18" spans="1:9" ht="12.6" customHeight="1">
      <c r="B18" s="103"/>
      <c r="C18" s="442" t="s">
        <v>555</v>
      </c>
      <c r="D18" s="442" t="s">
        <v>556</v>
      </c>
      <c r="E18" s="442" t="s">
        <v>557</v>
      </c>
      <c r="F18" s="442" t="s">
        <v>558</v>
      </c>
      <c r="G18" s="85"/>
      <c r="H18" s="88" t="s">
        <v>67</v>
      </c>
      <c r="I18" s="89">
        <v>2</v>
      </c>
    </row>
    <row r="19" spans="1:9" ht="12.6" customHeight="1">
      <c r="B19" s="103"/>
      <c r="C19" s="834" t="s">
        <v>78</v>
      </c>
      <c r="D19" s="835"/>
      <c r="E19" s="835"/>
      <c r="F19" s="835"/>
      <c r="G19" s="835"/>
      <c r="H19" s="86"/>
      <c r="I19" s="90"/>
    </row>
    <row r="20" spans="1:9" ht="12.6" customHeight="1">
      <c r="B20" s="103"/>
      <c r="C20" s="442" t="s">
        <v>555</v>
      </c>
      <c r="D20" s="442" t="s">
        <v>559</v>
      </c>
      <c r="E20" s="442" t="s">
        <v>560</v>
      </c>
      <c r="F20" s="442" t="s">
        <v>558</v>
      </c>
      <c r="G20" s="85"/>
      <c r="H20" s="88" t="s">
        <v>67</v>
      </c>
      <c r="I20" s="89">
        <v>1</v>
      </c>
    </row>
    <row r="21" spans="1:9" ht="12.6" customHeight="1">
      <c r="B21" s="103"/>
      <c r="C21" s="834" t="s">
        <v>79</v>
      </c>
      <c r="D21" s="835"/>
      <c r="E21" s="835"/>
      <c r="F21" s="835"/>
      <c r="G21" s="835"/>
      <c r="H21" s="86"/>
      <c r="I21" s="90"/>
    </row>
    <row r="22" spans="1:9" ht="12.6" customHeight="1" thickBot="1">
      <c r="B22" s="103"/>
      <c r="C22" s="442" t="s">
        <v>555</v>
      </c>
      <c r="D22" s="442" t="s">
        <v>556</v>
      </c>
      <c r="E22" s="442" t="s">
        <v>557</v>
      </c>
      <c r="F22" s="442" t="s">
        <v>558</v>
      </c>
      <c r="G22" s="85"/>
      <c r="H22" s="88" t="s">
        <v>67</v>
      </c>
      <c r="I22" s="395">
        <v>2</v>
      </c>
    </row>
    <row r="23" spans="1:9" ht="15" customHeight="1" thickTop="1" thickBot="1">
      <c r="B23" s="91"/>
      <c r="C23" s="92"/>
      <c r="D23" s="92"/>
      <c r="E23" s="92"/>
      <c r="F23" s="92"/>
      <c r="G23" s="92"/>
      <c r="H23" s="93" t="s">
        <v>74</v>
      </c>
      <c r="I23" s="94">
        <v>5</v>
      </c>
    </row>
    <row r="24" spans="1:9" ht="12.6" customHeight="1" thickTop="1">
      <c r="B24" s="100" t="s">
        <v>80</v>
      </c>
      <c r="C24" s="102" t="s">
        <v>81</v>
      </c>
      <c r="D24" s="442"/>
      <c r="E24" s="442"/>
      <c r="F24" s="442"/>
      <c r="G24" s="85"/>
      <c r="H24" s="86"/>
      <c r="I24" s="90"/>
    </row>
    <row r="25" spans="1:9" ht="12.6" customHeight="1">
      <c r="B25" s="103"/>
      <c r="C25" s="834" t="s">
        <v>561</v>
      </c>
      <c r="D25" s="835"/>
      <c r="E25" s="835"/>
      <c r="F25" s="835"/>
      <c r="G25" s="835"/>
      <c r="H25" s="86"/>
      <c r="I25" s="90"/>
    </row>
    <row r="26" spans="1:9" ht="12.6" customHeight="1">
      <c r="B26" s="103"/>
      <c r="C26" s="442" t="s">
        <v>555</v>
      </c>
      <c r="D26" s="442" t="s">
        <v>556</v>
      </c>
      <c r="E26" s="442" t="s">
        <v>560</v>
      </c>
      <c r="F26" s="442" t="s">
        <v>562</v>
      </c>
      <c r="G26" s="85"/>
      <c r="H26" s="88" t="s">
        <v>67</v>
      </c>
      <c r="I26" s="89">
        <v>3</v>
      </c>
    </row>
    <row r="27" spans="1:9" ht="12.6" customHeight="1">
      <c r="B27" s="103"/>
      <c r="C27" s="834" t="s">
        <v>83</v>
      </c>
      <c r="D27" s="835"/>
      <c r="E27" s="835"/>
      <c r="F27" s="835"/>
      <c r="G27" s="835"/>
      <c r="H27" s="86"/>
      <c r="I27" s="90"/>
    </row>
    <row r="28" spans="1:9" ht="12.6" customHeight="1">
      <c r="B28" s="103"/>
      <c r="C28" s="442" t="s">
        <v>563</v>
      </c>
      <c r="D28" s="442" t="s">
        <v>556</v>
      </c>
      <c r="E28" s="442" t="s">
        <v>564</v>
      </c>
      <c r="F28" s="442" t="s">
        <v>565</v>
      </c>
      <c r="G28" s="85"/>
      <c r="H28" s="88" t="s">
        <v>67</v>
      </c>
      <c r="I28" s="89">
        <v>2</v>
      </c>
    </row>
    <row r="29" spans="1:9" ht="12.6" customHeight="1">
      <c r="B29" s="103"/>
      <c r="C29" s="834" t="s">
        <v>87</v>
      </c>
      <c r="D29" s="835"/>
      <c r="E29" s="835"/>
      <c r="F29" s="835"/>
      <c r="G29" s="835"/>
      <c r="H29" s="86"/>
      <c r="I29" s="90"/>
    </row>
    <row r="30" spans="1:9" ht="12.6" customHeight="1" thickBot="1">
      <c r="B30" s="103"/>
      <c r="C30" s="442" t="s">
        <v>566</v>
      </c>
      <c r="D30" s="442" t="s">
        <v>567</v>
      </c>
      <c r="E30" s="442" t="s">
        <v>568</v>
      </c>
      <c r="F30" s="442" t="s">
        <v>569</v>
      </c>
      <c r="G30" s="85"/>
      <c r="H30" s="88" t="s">
        <v>67</v>
      </c>
      <c r="I30" s="395">
        <v>3</v>
      </c>
    </row>
    <row r="31" spans="1:9" ht="15" customHeight="1" thickTop="1" thickBot="1">
      <c r="B31" s="95"/>
      <c r="C31" s="96"/>
      <c r="D31" s="96"/>
      <c r="E31" s="96"/>
      <c r="F31" s="96"/>
      <c r="G31" s="96"/>
      <c r="H31" s="386" t="s">
        <v>74</v>
      </c>
      <c r="I31" s="94">
        <v>8</v>
      </c>
    </row>
    <row r="32" spans="1:9" ht="21.95" customHeight="1" thickTop="1">
      <c r="A32" s="422"/>
      <c r="B32" s="469" t="s">
        <v>88</v>
      </c>
      <c r="C32" s="471"/>
      <c r="D32" s="471"/>
      <c r="E32" s="471"/>
      <c r="F32" s="471"/>
      <c r="G32" s="471"/>
      <c r="H32" s="471"/>
      <c r="I32" s="467"/>
    </row>
    <row r="33" spans="2:9" ht="15" customHeight="1">
      <c r="B33" s="36"/>
      <c r="C33" s="397" t="s">
        <v>89</v>
      </c>
      <c r="D33" s="404" t="s">
        <v>570</v>
      </c>
      <c r="E33" s="398"/>
      <c r="F33" s="37"/>
      <c r="G33" s="37"/>
      <c r="H33" s="37"/>
      <c r="I33" s="53"/>
    </row>
    <row r="34" spans="2:9" ht="15" customHeight="1">
      <c r="B34" s="41"/>
      <c r="C34" s="438"/>
      <c r="D34" s="394" t="s">
        <v>571</v>
      </c>
      <c r="E34" s="80"/>
      <c r="I34" s="40"/>
    </row>
    <row r="35" spans="2:9" ht="15" customHeight="1">
      <c r="B35" s="41"/>
      <c r="C35" s="438"/>
      <c r="D35" s="405" t="s">
        <v>572</v>
      </c>
      <c r="E35" s="81"/>
      <c r="I35" s="40"/>
    </row>
    <row r="36" spans="2:9" ht="15" customHeight="1">
      <c r="B36" s="54"/>
      <c r="C36" s="55"/>
      <c r="D36" s="406" t="s">
        <v>573</v>
      </c>
      <c r="E36" s="399"/>
      <c r="F36" s="55"/>
      <c r="G36" s="55"/>
      <c r="H36" s="56"/>
      <c r="I36" s="57"/>
    </row>
    <row r="37" spans="2:9" ht="12.6" customHeight="1"/>
    <row r="38" spans="2:9" ht="12.6" customHeight="1"/>
    <row r="39" spans="2:9" ht="12.6" customHeight="1"/>
    <row r="40" spans="2:9" ht="12.6" customHeight="1"/>
    <row r="41" spans="2:9" ht="12.6" customHeight="1"/>
    <row r="42" spans="2:9" ht="12.6" customHeight="1"/>
    <row r="43" spans="2:9" ht="12.6" customHeight="1"/>
    <row r="44" spans="2:9" ht="12.6" customHeight="1"/>
    <row r="45" spans="2:9" ht="12.6" customHeight="1"/>
    <row r="46" spans="2:9" ht="12.6" customHeight="1"/>
    <row r="47" spans="2:9" ht="12.6" customHeight="1"/>
    <row r="48" spans="2:9"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row r="100" ht="12.6" customHeight="1"/>
    <row r="101" ht="12.6" customHeight="1"/>
    <row r="102" ht="12.6" customHeight="1"/>
    <row r="103" ht="12.6" customHeight="1"/>
    <row r="104" ht="12.6" customHeight="1"/>
    <row r="105" ht="12.6" customHeight="1"/>
    <row r="106" ht="12.6" customHeight="1"/>
    <row r="107" ht="12.6" customHeight="1"/>
    <row r="108" ht="12.6" customHeight="1"/>
    <row r="109" ht="12.6" customHeight="1"/>
    <row r="110" ht="12.6" customHeight="1"/>
    <row r="111" ht="12.6" customHeight="1"/>
    <row r="112" ht="12.6" customHeight="1"/>
    <row r="113" ht="12.6" customHeight="1"/>
  </sheetData>
  <mergeCells count="12">
    <mergeCell ref="D5:F5"/>
    <mergeCell ref="B7:I7"/>
    <mergeCell ref="B32:I32"/>
    <mergeCell ref="C9:G9"/>
    <mergeCell ref="C11:G11"/>
    <mergeCell ref="C13:G13"/>
    <mergeCell ref="C17:G17"/>
    <mergeCell ref="C19:G19"/>
    <mergeCell ref="C21:G21"/>
    <mergeCell ref="C25:G25"/>
    <mergeCell ref="C27:G27"/>
    <mergeCell ref="C29:G29"/>
  </mergeCells>
  <pageMargins left="0.70866141732283472" right="0.51181102362204722" top="0.59055118110236227" bottom="0.59055118110236227" header="0.31496062992125984" footer="0.31496062992125984"/>
  <pageSetup paperSize="9" scale="51"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6176-BAE7-45A5-8740-349DCD538763}">
  <dimension ref="A1:M45"/>
  <sheetViews>
    <sheetView showGridLines="0" showRowColHeaders="0" zoomScale="80" zoomScaleNormal="80" workbookViewId="0"/>
  </sheetViews>
  <sheetFormatPr defaultColWidth="10.85546875" defaultRowHeight="12.75"/>
  <cols>
    <col min="1" max="1" width="2" style="1" customWidth="1"/>
    <col min="2" max="2" width="3.28515625" style="1" customWidth="1"/>
    <col min="3" max="3" width="6.85546875" style="1" customWidth="1"/>
    <col min="4" max="4" width="4.140625" style="1" customWidth="1"/>
    <col min="5" max="5" width="31.42578125" style="1" customWidth="1"/>
    <col min="6" max="6" width="5.5703125" style="5" customWidth="1"/>
    <col min="7" max="7" width="58.5703125" style="1" customWidth="1"/>
    <col min="8" max="8" width="32.140625" style="1" customWidth="1"/>
    <col min="9" max="13" width="6.5703125" style="1" customWidth="1"/>
    <col min="14" max="16384" width="10.85546875" style="1"/>
  </cols>
  <sheetData>
    <row r="1" spans="1:13" customFormat="1" ht="6.6" customHeight="1">
      <c r="A1" s="1"/>
      <c r="B1" s="1"/>
      <c r="C1" s="1"/>
      <c r="D1" s="1"/>
      <c r="E1" s="1"/>
      <c r="F1" s="1"/>
      <c r="G1" s="1"/>
      <c r="H1" s="1"/>
      <c r="I1" s="1"/>
      <c r="J1" s="1"/>
      <c r="K1" s="443"/>
      <c r="L1" s="443"/>
      <c r="M1" s="443"/>
    </row>
    <row r="2" spans="1:13" customFormat="1" ht="18">
      <c r="A2" s="1"/>
      <c r="B2" s="421" t="s">
        <v>574</v>
      </c>
      <c r="C2" s="1"/>
      <c r="D2" s="1"/>
      <c r="E2" s="1"/>
      <c r="F2" s="3"/>
      <c r="G2" s="3"/>
      <c r="H2" s="4"/>
      <c r="I2" s="3"/>
      <c r="J2" s="4"/>
      <c r="K2" s="443"/>
      <c r="L2" s="443"/>
      <c r="M2" s="443"/>
    </row>
    <row r="3" spans="1:13" ht="9.6" customHeight="1"/>
    <row r="4" spans="1:13" ht="21.95" customHeight="1">
      <c r="B4" s="796" t="s">
        <v>96</v>
      </c>
      <c r="C4" s="797"/>
      <c r="D4" s="797"/>
      <c r="E4" s="797"/>
      <c r="F4" s="797"/>
      <c r="G4" s="797"/>
      <c r="H4" s="797"/>
      <c r="I4" s="797"/>
      <c r="J4" s="797"/>
      <c r="K4" s="797"/>
      <c r="L4" s="797"/>
      <c r="M4" s="798"/>
    </row>
    <row r="5" spans="1:13" ht="8.4499999999999993" customHeight="1">
      <c r="B5" s="26"/>
      <c r="C5" s="13"/>
      <c r="D5" s="13"/>
      <c r="E5" s="13"/>
      <c r="F5" s="14"/>
      <c r="G5" s="13"/>
      <c r="H5" s="13"/>
      <c r="I5" s="13"/>
      <c r="J5" s="13"/>
      <c r="K5" s="13"/>
      <c r="L5" s="13"/>
      <c r="M5" s="15"/>
    </row>
    <row r="6" spans="1:13" ht="15.6" customHeight="1">
      <c r="B6" s="802" t="s">
        <v>45</v>
      </c>
      <c r="C6" s="533"/>
      <c r="D6" s="533"/>
      <c r="E6" s="795" t="s">
        <v>496</v>
      </c>
      <c r="F6" s="795"/>
      <c r="G6" s="795"/>
      <c r="H6" s="117"/>
      <c r="I6" s="17"/>
      <c r="J6" s="23" t="s">
        <v>57</v>
      </c>
      <c r="K6" s="512">
        <v>44901</v>
      </c>
      <c r="L6" s="513"/>
      <c r="M6" s="18"/>
    </row>
    <row r="7" spans="1:13" ht="6.95" customHeight="1">
      <c r="B7" s="28"/>
      <c r="C7" s="20"/>
      <c r="D7" s="20"/>
      <c r="E7" s="20"/>
      <c r="F7" s="21"/>
      <c r="G7" s="20"/>
      <c r="H7" s="20"/>
      <c r="I7" s="20"/>
      <c r="J7" s="20"/>
      <c r="K7" s="20"/>
      <c r="L7" s="20"/>
      <c r="M7" s="22"/>
    </row>
    <row r="8" spans="1:13" ht="17.100000000000001" customHeight="1">
      <c r="B8" s="505" t="s">
        <v>97</v>
      </c>
      <c r="C8" s="506"/>
      <c r="D8" s="505" t="s">
        <v>98</v>
      </c>
      <c r="E8" s="506"/>
      <c r="F8" s="505" t="s">
        <v>99</v>
      </c>
      <c r="G8" s="506"/>
      <c r="H8" s="596" t="s">
        <v>100</v>
      </c>
      <c r="I8" s="509" t="s">
        <v>101</v>
      </c>
      <c r="J8" s="510"/>
      <c r="K8" s="510"/>
      <c r="L8" s="510"/>
      <c r="M8" s="511"/>
    </row>
    <row r="9" spans="1:13" ht="21.6" customHeight="1">
      <c r="B9" s="507"/>
      <c r="C9" s="508"/>
      <c r="D9" s="507"/>
      <c r="E9" s="508"/>
      <c r="F9" s="507"/>
      <c r="G9" s="508"/>
      <c r="H9" s="515"/>
      <c r="I9" s="25" t="s">
        <v>102</v>
      </c>
      <c r="J9" s="25" t="s">
        <v>103</v>
      </c>
      <c r="K9" s="25" t="s">
        <v>104</v>
      </c>
      <c r="L9" s="25" t="s">
        <v>105</v>
      </c>
      <c r="M9" s="25" t="s">
        <v>106</v>
      </c>
    </row>
    <row r="10" spans="1:13" ht="12.6" customHeight="1">
      <c r="B10" s="476">
        <v>1</v>
      </c>
      <c r="C10" s="501" t="s">
        <v>107</v>
      </c>
      <c r="D10" s="482" t="s">
        <v>108</v>
      </c>
      <c r="E10" s="503" t="s">
        <v>575</v>
      </c>
      <c r="F10" s="11" t="s">
        <v>109</v>
      </c>
      <c r="G10" s="109" t="s">
        <v>576</v>
      </c>
      <c r="H10" s="109" t="s">
        <v>577</v>
      </c>
      <c r="I10" s="113"/>
      <c r="J10" s="113"/>
      <c r="K10" s="113" t="s">
        <v>578</v>
      </c>
      <c r="L10" s="113"/>
      <c r="M10" s="113"/>
    </row>
    <row r="11" spans="1:13" ht="12.6" customHeight="1">
      <c r="B11" s="477"/>
      <c r="C11" s="502"/>
      <c r="D11" s="477"/>
      <c r="E11" s="504"/>
      <c r="F11" s="11" t="s">
        <v>110</v>
      </c>
      <c r="G11" s="109" t="s">
        <v>579</v>
      </c>
      <c r="H11" s="109" t="s">
        <v>580</v>
      </c>
      <c r="I11" s="113"/>
      <c r="J11" s="113"/>
      <c r="K11" s="113"/>
      <c r="L11" s="113" t="s">
        <v>578</v>
      </c>
      <c r="M11" s="113"/>
    </row>
    <row r="12" spans="1:13" ht="12.6" customHeight="1">
      <c r="B12" s="477"/>
      <c r="C12" s="502"/>
      <c r="D12" s="477"/>
      <c r="E12" s="504"/>
      <c r="F12" s="11" t="s">
        <v>111</v>
      </c>
      <c r="G12" s="109" t="s">
        <v>581</v>
      </c>
      <c r="H12" s="109" t="s">
        <v>582</v>
      </c>
      <c r="I12" s="113"/>
      <c r="J12" s="113"/>
      <c r="K12" s="113"/>
      <c r="L12" s="113"/>
      <c r="M12" s="113" t="s">
        <v>578</v>
      </c>
    </row>
    <row r="13" spans="1:13" ht="12.6" customHeight="1">
      <c r="B13" s="477"/>
      <c r="C13" s="502"/>
      <c r="D13" s="482" t="s">
        <v>112</v>
      </c>
      <c r="E13" s="503" t="s">
        <v>583</v>
      </c>
      <c r="F13" s="11" t="s">
        <v>113</v>
      </c>
      <c r="G13" s="109" t="s">
        <v>584</v>
      </c>
      <c r="H13" s="109" t="s">
        <v>585</v>
      </c>
      <c r="I13" s="113"/>
      <c r="J13" s="113"/>
      <c r="K13" s="113"/>
      <c r="L13" s="113" t="s">
        <v>578</v>
      </c>
      <c r="M13" s="113"/>
    </row>
    <row r="14" spans="1:13" ht="12.6" customHeight="1">
      <c r="B14" s="477"/>
      <c r="C14" s="502"/>
      <c r="D14" s="477"/>
      <c r="E14" s="504"/>
      <c r="F14" s="11" t="s">
        <v>114</v>
      </c>
      <c r="G14" s="109" t="s">
        <v>586</v>
      </c>
      <c r="H14" s="109" t="s">
        <v>587</v>
      </c>
      <c r="I14" s="113"/>
      <c r="J14" s="113"/>
      <c r="K14" s="113" t="s">
        <v>578</v>
      </c>
      <c r="L14" s="113"/>
      <c r="M14" s="113"/>
    </row>
    <row r="15" spans="1:13" ht="12.6" customHeight="1">
      <c r="B15" s="477"/>
      <c r="C15" s="502"/>
      <c r="D15" s="477"/>
      <c r="E15" s="504"/>
      <c r="F15" s="11" t="s">
        <v>115</v>
      </c>
      <c r="G15" s="109" t="s">
        <v>588</v>
      </c>
      <c r="H15" s="109" t="s">
        <v>589</v>
      </c>
      <c r="I15" s="113"/>
      <c r="J15" s="113" t="s">
        <v>578</v>
      </c>
      <c r="K15" s="113"/>
      <c r="L15" s="113"/>
      <c r="M15" s="113"/>
    </row>
    <row r="16" spans="1:13" ht="12.6" customHeight="1">
      <c r="B16" s="477"/>
      <c r="C16" s="502"/>
      <c r="D16" s="482" t="s">
        <v>116</v>
      </c>
      <c r="E16" s="503" t="s">
        <v>590</v>
      </c>
      <c r="F16" s="11" t="s">
        <v>117</v>
      </c>
      <c r="G16" s="109" t="s">
        <v>591</v>
      </c>
      <c r="H16" s="109" t="s">
        <v>592</v>
      </c>
      <c r="I16" s="113"/>
      <c r="J16" s="113"/>
      <c r="K16" s="113"/>
      <c r="L16" s="113" t="s">
        <v>578</v>
      </c>
      <c r="M16" s="113"/>
    </row>
    <row r="17" spans="2:13" ht="12.6" customHeight="1">
      <c r="B17" s="477"/>
      <c r="C17" s="502"/>
      <c r="D17" s="477"/>
      <c r="E17" s="504"/>
      <c r="F17" s="11" t="s">
        <v>118</v>
      </c>
      <c r="G17" s="109" t="s">
        <v>593</v>
      </c>
      <c r="H17" s="109" t="s">
        <v>594</v>
      </c>
      <c r="I17" s="113"/>
      <c r="J17" s="113"/>
      <c r="K17" s="113" t="s">
        <v>578</v>
      </c>
      <c r="L17" s="113"/>
      <c r="M17" s="113"/>
    </row>
    <row r="18" spans="2:13" ht="12.6" customHeight="1">
      <c r="B18" s="477"/>
      <c r="C18" s="502"/>
      <c r="D18" s="477"/>
      <c r="E18" s="504"/>
      <c r="F18" s="11" t="s">
        <v>119</v>
      </c>
      <c r="G18" s="109" t="s">
        <v>595</v>
      </c>
      <c r="H18" s="109" t="s">
        <v>596</v>
      </c>
      <c r="I18" s="113"/>
      <c r="J18" s="113"/>
      <c r="K18" s="113"/>
      <c r="L18" s="113"/>
      <c r="M18" s="113" t="s">
        <v>578</v>
      </c>
    </row>
    <row r="19" spans="2:13" ht="12.6" customHeight="1">
      <c r="B19" s="476">
        <v>2</v>
      </c>
      <c r="C19" s="495" t="s">
        <v>120</v>
      </c>
      <c r="D19" s="482" t="s">
        <v>121</v>
      </c>
      <c r="E19" s="496" t="s">
        <v>597</v>
      </c>
      <c r="F19" s="11" t="s">
        <v>122</v>
      </c>
      <c r="G19" s="110" t="s">
        <v>598</v>
      </c>
      <c r="H19" s="110" t="s">
        <v>599</v>
      </c>
      <c r="I19" s="114"/>
      <c r="J19" s="114" t="s">
        <v>578</v>
      </c>
      <c r="K19" s="114"/>
      <c r="L19" s="114"/>
      <c r="M19" s="114"/>
    </row>
    <row r="20" spans="2:13" ht="12.6" customHeight="1">
      <c r="B20" s="477"/>
      <c r="C20" s="480"/>
      <c r="D20" s="493"/>
      <c r="E20" s="497"/>
      <c r="F20" s="11" t="s">
        <v>123</v>
      </c>
      <c r="G20" s="110" t="s">
        <v>600</v>
      </c>
      <c r="H20" s="110" t="s">
        <v>601</v>
      </c>
      <c r="I20" s="114"/>
      <c r="J20" s="114"/>
      <c r="K20" s="114" t="s">
        <v>578</v>
      </c>
      <c r="L20" s="114"/>
      <c r="M20" s="114"/>
    </row>
    <row r="21" spans="2:13" ht="12.6" customHeight="1">
      <c r="B21" s="477"/>
      <c r="C21" s="480"/>
      <c r="D21" s="493"/>
      <c r="E21" s="497"/>
      <c r="F21" s="11" t="s">
        <v>124</v>
      </c>
      <c r="G21" s="110" t="s">
        <v>602</v>
      </c>
      <c r="H21" s="110" t="s">
        <v>603</v>
      </c>
      <c r="I21" s="114"/>
      <c r="J21" s="114"/>
      <c r="K21" s="114"/>
      <c r="L21" s="114" t="s">
        <v>578</v>
      </c>
      <c r="M21" s="114"/>
    </row>
    <row r="22" spans="2:13" ht="12.6" customHeight="1">
      <c r="B22" s="477"/>
      <c r="C22" s="480"/>
      <c r="D22" s="482" t="s">
        <v>125</v>
      </c>
      <c r="E22" s="498" t="s">
        <v>604</v>
      </c>
      <c r="F22" s="11" t="s">
        <v>126</v>
      </c>
      <c r="G22" s="110" t="s">
        <v>605</v>
      </c>
      <c r="H22" s="110" t="s">
        <v>606</v>
      </c>
      <c r="I22" s="114"/>
      <c r="J22" s="114" t="s">
        <v>578</v>
      </c>
      <c r="K22" s="114"/>
      <c r="L22" s="114"/>
      <c r="M22" s="114"/>
    </row>
    <row r="23" spans="2:13" ht="12.6" customHeight="1">
      <c r="B23" s="477"/>
      <c r="C23" s="480"/>
      <c r="D23" s="493"/>
      <c r="E23" s="499"/>
      <c r="F23" s="11" t="s">
        <v>127</v>
      </c>
      <c r="G23" s="110" t="s">
        <v>607</v>
      </c>
      <c r="H23" s="110" t="s">
        <v>608</v>
      </c>
      <c r="I23" s="114"/>
      <c r="J23" s="114"/>
      <c r="K23" s="114"/>
      <c r="L23" s="114" t="s">
        <v>578</v>
      </c>
      <c r="M23" s="114"/>
    </row>
    <row r="24" spans="2:13" ht="12.6" customHeight="1">
      <c r="B24" s="477"/>
      <c r="C24" s="480"/>
      <c r="D24" s="493"/>
      <c r="E24" s="499"/>
      <c r="F24" s="11" t="s">
        <v>128</v>
      </c>
      <c r="G24" s="110" t="s">
        <v>609</v>
      </c>
      <c r="H24" s="110" t="s">
        <v>610</v>
      </c>
      <c r="I24" s="114" t="s">
        <v>578</v>
      </c>
      <c r="J24" s="114"/>
      <c r="K24" s="114"/>
      <c r="L24" s="114"/>
      <c r="M24" s="114"/>
    </row>
    <row r="25" spans="2:13" ht="12.6" customHeight="1">
      <c r="B25" s="477"/>
      <c r="C25" s="480"/>
      <c r="D25" s="482" t="s">
        <v>129</v>
      </c>
      <c r="E25" s="496" t="s">
        <v>611</v>
      </c>
      <c r="F25" s="11" t="s">
        <v>130</v>
      </c>
      <c r="G25" s="110" t="s">
        <v>612</v>
      </c>
      <c r="H25" s="110" t="s">
        <v>613</v>
      </c>
      <c r="I25" s="114"/>
      <c r="J25" s="114" t="s">
        <v>578</v>
      </c>
      <c r="K25" s="114"/>
      <c r="L25" s="114"/>
      <c r="M25" s="114"/>
    </row>
    <row r="26" spans="2:13" ht="12.6" customHeight="1">
      <c r="B26" s="477"/>
      <c r="C26" s="480"/>
      <c r="D26" s="477"/>
      <c r="E26" s="500"/>
      <c r="F26" s="11" t="s">
        <v>131</v>
      </c>
      <c r="G26" s="110" t="s">
        <v>614</v>
      </c>
      <c r="H26" s="110" t="s">
        <v>615</v>
      </c>
      <c r="I26" s="114" t="s">
        <v>578</v>
      </c>
      <c r="J26" s="114"/>
      <c r="K26" s="114"/>
      <c r="L26" s="114"/>
      <c r="M26" s="114"/>
    </row>
    <row r="27" spans="2:13" ht="12.6" customHeight="1">
      <c r="B27" s="477"/>
      <c r="C27" s="480"/>
      <c r="D27" s="477"/>
      <c r="E27" s="500"/>
      <c r="F27" s="11" t="s">
        <v>132</v>
      </c>
      <c r="G27" s="110" t="s">
        <v>616</v>
      </c>
      <c r="H27" s="110" t="s">
        <v>617</v>
      </c>
      <c r="I27" s="114" t="s">
        <v>578</v>
      </c>
      <c r="J27" s="114"/>
      <c r="K27" s="114"/>
      <c r="L27" s="114"/>
      <c r="M27" s="114"/>
    </row>
    <row r="28" spans="2:13" ht="12.6" customHeight="1">
      <c r="B28" s="476">
        <v>3</v>
      </c>
      <c r="C28" s="488" t="s">
        <v>133</v>
      </c>
      <c r="D28" s="482" t="s">
        <v>134</v>
      </c>
      <c r="E28" s="489" t="s">
        <v>618</v>
      </c>
      <c r="F28" s="11" t="s">
        <v>135</v>
      </c>
      <c r="G28" s="111" t="s">
        <v>619</v>
      </c>
      <c r="H28" s="111" t="s">
        <v>620</v>
      </c>
      <c r="I28" s="115"/>
      <c r="J28" s="115"/>
      <c r="K28" s="115" t="s">
        <v>578</v>
      </c>
      <c r="L28" s="115"/>
      <c r="M28" s="115"/>
    </row>
    <row r="29" spans="2:13" ht="12.6" customHeight="1">
      <c r="B29" s="799"/>
      <c r="C29" s="800"/>
      <c r="D29" s="493"/>
      <c r="E29" s="801"/>
      <c r="F29" s="11" t="s">
        <v>136</v>
      </c>
      <c r="G29" s="111" t="s">
        <v>621</v>
      </c>
      <c r="H29" s="111" t="s">
        <v>622</v>
      </c>
      <c r="I29" s="115"/>
      <c r="J29" s="115"/>
      <c r="K29" s="115"/>
      <c r="L29" s="115"/>
      <c r="M29" s="115" t="s">
        <v>578</v>
      </c>
    </row>
    <row r="30" spans="2:13" ht="12.6" customHeight="1">
      <c r="B30" s="477"/>
      <c r="C30" s="480"/>
      <c r="D30" s="477"/>
      <c r="E30" s="490"/>
      <c r="F30" s="11" t="s">
        <v>137</v>
      </c>
      <c r="G30" s="111" t="s">
        <v>623</v>
      </c>
      <c r="H30" s="111" t="s">
        <v>624</v>
      </c>
      <c r="I30" s="115"/>
      <c r="J30" s="115"/>
      <c r="K30" s="115" t="s">
        <v>578</v>
      </c>
      <c r="L30" s="115"/>
      <c r="M30" s="115"/>
    </row>
    <row r="31" spans="2:13" ht="12.6" customHeight="1">
      <c r="B31" s="477"/>
      <c r="C31" s="480"/>
      <c r="D31" s="477"/>
      <c r="E31" s="490"/>
      <c r="F31" s="11" t="s">
        <v>625</v>
      </c>
      <c r="G31" s="111" t="s">
        <v>626</v>
      </c>
      <c r="H31" s="111" t="s">
        <v>627</v>
      </c>
      <c r="I31" s="115"/>
      <c r="J31" s="115"/>
      <c r="K31" s="115"/>
      <c r="L31" s="115" t="s">
        <v>578</v>
      </c>
      <c r="M31" s="115"/>
    </row>
    <row r="32" spans="2:13" ht="12.6" customHeight="1">
      <c r="B32" s="477"/>
      <c r="C32" s="480"/>
      <c r="D32" s="482" t="s">
        <v>138</v>
      </c>
      <c r="E32" s="491" t="s">
        <v>628</v>
      </c>
      <c r="F32" s="11" t="s">
        <v>139</v>
      </c>
      <c r="G32" s="111" t="s">
        <v>629</v>
      </c>
      <c r="H32" s="111" t="s">
        <v>580</v>
      </c>
      <c r="I32" s="115"/>
      <c r="J32" s="115"/>
      <c r="K32" s="115"/>
      <c r="L32" s="115"/>
      <c r="M32" s="115" t="s">
        <v>578</v>
      </c>
    </row>
    <row r="33" spans="2:13" ht="12.6" customHeight="1">
      <c r="B33" s="477"/>
      <c r="C33" s="480"/>
      <c r="D33" s="477"/>
      <c r="E33" s="492"/>
      <c r="F33" s="11" t="s">
        <v>140</v>
      </c>
      <c r="G33" s="111" t="s">
        <v>630</v>
      </c>
      <c r="H33" s="111" t="s">
        <v>631</v>
      </c>
      <c r="I33" s="115"/>
      <c r="J33" s="115"/>
      <c r="K33" s="115"/>
      <c r="L33" s="115" t="s">
        <v>578</v>
      </c>
      <c r="M33" s="115"/>
    </row>
    <row r="34" spans="2:13" ht="12.6" customHeight="1">
      <c r="B34" s="477"/>
      <c r="C34" s="480"/>
      <c r="D34" s="477"/>
      <c r="E34" s="492"/>
      <c r="F34" s="11" t="s">
        <v>141</v>
      </c>
      <c r="G34" s="111" t="s">
        <v>632</v>
      </c>
      <c r="H34" s="111" t="s">
        <v>633</v>
      </c>
      <c r="I34" s="115"/>
      <c r="J34" s="115" t="s">
        <v>578</v>
      </c>
      <c r="K34" s="115"/>
      <c r="L34" s="115"/>
      <c r="M34" s="115"/>
    </row>
    <row r="35" spans="2:13">
      <c r="B35" s="477"/>
      <c r="C35" s="480"/>
      <c r="D35" s="482" t="s">
        <v>142</v>
      </c>
      <c r="E35" s="491" t="s">
        <v>634</v>
      </c>
      <c r="F35" s="11" t="s">
        <v>143</v>
      </c>
      <c r="G35" s="111" t="s">
        <v>635</v>
      </c>
      <c r="H35" s="111" t="s">
        <v>631</v>
      </c>
      <c r="I35" s="115"/>
      <c r="J35" s="115"/>
      <c r="K35" s="115" t="s">
        <v>578</v>
      </c>
      <c r="L35" s="115"/>
      <c r="M35" s="115"/>
    </row>
    <row r="36" spans="2:13">
      <c r="B36" s="477"/>
      <c r="C36" s="480"/>
      <c r="D36" s="493"/>
      <c r="E36" s="494"/>
      <c r="F36" s="11" t="s">
        <v>144</v>
      </c>
      <c r="G36" s="111" t="s">
        <v>636</v>
      </c>
      <c r="H36" s="111" t="s">
        <v>631</v>
      </c>
      <c r="I36" s="115"/>
      <c r="J36" s="115"/>
      <c r="K36" s="115" t="s">
        <v>578</v>
      </c>
      <c r="L36" s="115"/>
      <c r="M36" s="115"/>
    </row>
    <row r="37" spans="2:13">
      <c r="B37" s="476">
        <v>4</v>
      </c>
      <c r="C37" s="479" t="s">
        <v>146</v>
      </c>
      <c r="D37" s="482" t="s">
        <v>147</v>
      </c>
      <c r="E37" s="483" t="s">
        <v>637</v>
      </c>
      <c r="F37" s="11" t="s">
        <v>148</v>
      </c>
      <c r="G37" s="112" t="s">
        <v>638</v>
      </c>
      <c r="H37" s="112" t="s">
        <v>639</v>
      </c>
      <c r="I37" s="116"/>
      <c r="J37" s="116"/>
      <c r="K37" s="116"/>
      <c r="L37" s="116"/>
      <c r="M37" s="116" t="s">
        <v>578</v>
      </c>
    </row>
    <row r="38" spans="2:13">
      <c r="B38" s="477"/>
      <c r="C38" s="480"/>
      <c r="D38" s="477"/>
      <c r="E38" s="484"/>
      <c r="F38" s="11" t="s">
        <v>149</v>
      </c>
      <c r="G38" s="112" t="s">
        <v>640</v>
      </c>
      <c r="H38" s="112" t="s">
        <v>641</v>
      </c>
      <c r="I38" s="116"/>
      <c r="J38" s="116"/>
      <c r="K38" s="116"/>
      <c r="L38" s="116" t="s">
        <v>578</v>
      </c>
      <c r="M38" s="116"/>
    </row>
    <row r="39" spans="2:13">
      <c r="B39" s="477"/>
      <c r="C39" s="480"/>
      <c r="D39" s="477"/>
      <c r="E39" s="484"/>
      <c r="F39" s="11" t="s">
        <v>150</v>
      </c>
      <c r="G39" s="112" t="s">
        <v>642</v>
      </c>
      <c r="H39" s="112" t="s">
        <v>643</v>
      </c>
      <c r="I39" s="116"/>
      <c r="J39" s="116"/>
      <c r="K39" s="116" t="s">
        <v>578</v>
      </c>
      <c r="L39" s="116"/>
      <c r="M39" s="116"/>
    </row>
    <row r="40" spans="2:13">
      <c r="B40" s="477"/>
      <c r="C40" s="480"/>
      <c r="D40" s="482" t="s">
        <v>151</v>
      </c>
      <c r="E40" s="485" t="s">
        <v>644</v>
      </c>
      <c r="F40" s="11" t="s">
        <v>152</v>
      </c>
      <c r="G40" s="112" t="s">
        <v>645</v>
      </c>
      <c r="H40" s="112" t="s">
        <v>646</v>
      </c>
      <c r="I40" s="116"/>
      <c r="J40" s="116"/>
      <c r="K40" s="116"/>
      <c r="L40" s="116" t="s">
        <v>578</v>
      </c>
      <c r="M40" s="116"/>
    </row>
    <row r="41" spans="2:13">
      <c r="B41" s="477"/>
      <c r="C41" s="480"/>
      <c r="D41" s="477"/>
      <c r="E41" s="486"/>
      <c r="F41" s="11" t="s">
        <v>153</v>
      </c>
      <c r="G41" s="112" t="s">
        <v>647</v>
      </c>
      <c r="H41" s="112" t="s">
        <v>648</v>
      </c>
      <c r="I41" s="116"/>
      <c r="J41" s="116"/>
      <c r="K41" s="116" t="s">
        <v>578</v>
      </c>
      <c r="L41" s="116"/>
      <c r="M41" s="116"/>
    </row>
    <row r="42" spans="2:13">
      <c r="B42" s="477"/>
      <c r="C42" s="480"/>
      <c r="D42" s="477"/>
      <c r="E42" s="486"/>
      <c r="F42" s="11" t="s">
        <v>154</v>
      </c>
      <c r="G42" s="112" t="s">
        <v>649</v>
      </c>
      <c r="H42" s="112" t="s">
        <v>650</v>
      </c>
      <c r="I42" s="116"/>
      <c r="J42" s="116" t="s">
        <v>578</v>
      </c>
      <c r="K42" s="116"/>
      <c r="L42" s="116"/>
      <c r="M42" s="116"/>
    </row>
    <row r="43" spans="2:13">
      <c r="B43" s="477"/>
      <c r="C43" s="480"/>
      <c r="D43" s="482" t="s">
        <v>155</v>
      </c>
      <c r="E43" s="483" t="s">
        <v>651</v>
      </c>
      <c r="F43" s="11" t="s">
        <v>156</v>
      </c>
      <c r="G43" s="112" t="s">
        <v>652</v>
      </c>
      <c r="H43" s="112" t="s">
        <v>653</v>
      </c>
      <c r="I43" s="116" t="s">
        <v>578</v>
      </c>
      <c r="J43" s="116"/>
      <c r="K43" s="116"/>
      <c r="L43" s="116"/>
      <c r="M43" s="116"/>
    </row>
    <row r="44" spans="2:13">
      <c r="B44" s="477"/>
      <c r="C44" s="480"/>
      <c r="D44" s="477"/>
      <c r="E44" s="484"/>
      <c r="F44" s="11" t="s">
        <v>157</v>
      </c>
      <c r="G44" s="112" t="s">
        <v>654</v>
      </c>
      <c r="H44" s="112" t="s">
        <v>589</v>
      </c>
      <c r="I44" s="116"/>
      <c r="J44" s="116"/>
      <c r="K44" s="116" t="s">
        <v>578</v>
      </c>
      <c r="L44" s="116"/>
      <c r="M44" s="116"/>
    </row>
    <row r="45" spans="2:13">
      <c r="B45" s="478"/>
      <c r="C45" s="481"/>
      <c r="D45" s="478"/>
      <c r="E45" s="487"/>
      <c r="F45" s="11" t="s">
        <v>158</v>
      </c>
      <c r="G45" s="112" t="s">
        <v>655</v>
      </c>
      <c r="H45" s="112" t="s">
        <v>656</v>
      </c>
      <c r="I45" s="116"/>
      <c r="J45" s="116"/>
      <c r="K45" s="116"/>
      <c r="L45" s="116"/>
      <c r="M45" s="116" t="s">
        <v>578</v>
      </c>
    </row>
  </sheetData>
  <mergeCells count="41">
    <mergeCell ref="E6:G6"/>
    <mergeCell ref="K6:L6"/>
    <mergeCell ref="B8:C9"/>
    <mergeCell ref="D8:E9"/>
    <mergeCell ref="F8:G9"/>
    <mergeCell ref="I8:M8"/>
    <mergeCell ref="H8:H9"/>
    <mergeCell ref="B6:D6"/>
    <mergeCell ref="B10:B18"/>
    <mergeCell ref="C10:C18"/>
    <mergeCell ref="D10:D12"/>
    <mergeCell ref="E10:E12"/>
    <mergeCell ref="D13:D15"/>
    <mergeCell ref="E13:E15"/>
    <mergeCell ref="D16:D18"/>
    <mergeCell ref="E16:E18"/>
    <mergeCell ref="E35:E36"/>
    <mergeCell ref="B19:B27"/>
    <mergeCell ref="C19:C27"/>
    <mergeCell ref="D19:D21"/>
    <mergeCell ref="E19:E21"/>
    <mergeCell ref="D22:D24"/>
    <mergeCell ref="E22:E24"/>
    <mergeCell ref="D25:D27"/>
    <mergeCell ref="E25:E27"/>
    <mergeCell ref="B4:M4"/>
    <mergeCell ref="B37:B45"/>
    <mergeCell ref="C37:C45"/>
    <mergeCell ref="D37:D39"/>
    <mergeCell ref="E37:E39"/>
    <mergeCell ref="D40:D42"/>
    <mergeCell ref="E40:E42"/>
    <mergeCell ref="D43:D45"/>
    <mergeCell ref="E43:E45"/>
    <mergeCell ref="B28:B36"/>
    <mergeCell ref="C28:C36"/>
    <mergeCell ref="D28:D31"/>
    <mergeCell ref="E28:E31"/>
    <mergeCell ref="D32:D34"/>
    <mergeCell ref="E32:E34"/>
    <mergeCell ref="D35:D36"/>
  </mergeCells>
  <pageMargins left="0.7" right="0.7" top="0.78740157499999996" bottom="0.78740157499999996" header="0.3" footer="0.3"/>
  <pageSetup paperSize="9" orientation="portrait"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D588-A9FA-45DE-B4A3-B6E0933DA210}">
  <dimension ref="A1:J19"/>
  <sheetViews>
    <sheetView showGridLines="0" showRowColHeaders="0" zoomScale="80" zoomScaleNormal="80" workbookViewId="0"/>
  </sheetViews>
  <sheetFormatPr defaultColWidth="11.42578125" defaultRowHeight="15"/>
  <cols>
    <col min="1" max="1" width="1" style="1" customWidth="1"/>
    <col min="2" max="2" width="3.42578125" style="1" customWidth="1"/>
    <col min="3" max="3" width="24.5703125" style="1" customWidth="1"/>
    <col min="4" max="4" width="41.85546875" style="1" customWidth="1"/>
    <col min="5" max="5" width="63.5703125" style="1" customWidth="1"/>
    <col min="6" max="7" width="11.5703125" style="1" customWidth="1"/>
    <col min="8" max="10" width="8.5703125" style="1" customWidth="1"/>
  </cols>
  <sheetData>
    <row r="1" spans="1:10" ht="6.6" customHeight="1"/>
    <row r="2" spans="1:10" ht="18">
      <c r="B2" s="421" t="s">
        <v>657</v>
      </c>
      <c r="F2" s="3"/>
      <c r="G2" s="3"/>
      <c r="H2" s="4"/>
      <c r="I2" s="3"/>
      <c r="J2" s="4"/>
    </row>
    <row r="3" spans="1:10" ht="6.6" customHeight="1">
      <c r="A3" s="422"/>
      <c r="B3" s="422"/>
      <c r="C3" s="422"/>
      <c r="D3" s="422"/>
      <c r="E3" s="422"/>
      <c r="F3" s="422"/>
      <c r="G3" s="422"/>
      <c r="H3" s="422"/>
      <c r="I3" s="422"/>
      <c r="J3" s="422"/>
    </row>
    <row r="4" spans="1:10" ht="20.45" customHeight="1">
      <c r="A4" s="422"/>
      <c r="B4" s="516" t="s">
        <v>160</v>
      </c>
      <c r="C4" s="517"/>
      <c r="D4" s="517"/>
      <c r="E4" s="517"/>
      <c r="F4" s="517"/>
      <c r="G4" s="517"/>
      <c r="H4" s="517"/>
      <c r="I4" s="517"/>
      <c r="J4" s="518"/>
    </row>
    <row r="5" spans="1:10" ht="8.1" customHeight="1">
      <c r="B5" s="12"/>
      <c r="C5" s="13"/>
      <c r="D5" s="13"/>
      <c r="E5" s="13"/>
      <c r="F5" s="13"/>
      <c r="G5" s="13"/>
      <c r="H5" s="14"/>
      <c r="I5" s="13"/>
      <c r="J5" s="15"/>
    </row>
    <row r="6" spans="1:10" ht="18.95" customHeight="1">
      <c r="B6" s="16"/>
      <c r="C6" s="23" t="s">
        <v>45</v>
      </c>
      <c r="D6" s="441" t="s">
        <v>496</v>
      </c>
      <c r="E6" s="117"/>
      <c r="F6" s="59" t="s">
        <v>57</v>
      </c>
      <c r="G6" s="415">
        <v>44901</v>
      </c>
      <c r="H6" s="122"/>
      <c r="I6" s="123"/>
      <c r="J6" s="18"/>
    </row>
    <row r="7" spans="1:10" ht="6" customHeight="1">
      <c r="B7" s="19"/>
      <c r="C7" s="20"/>
      <c r="D7" s="20"/>
      <c r="E7" s="20"/>
      <c r="F7" s="20"/>
      <c r="G7" s="20"/>
      <c r="H7" s="21"/>
      <c r="I7" s="20"/>
      <c r="J7" s="22"/>
    </row>
    <row r="8" spans="1:10" ht="20.100000000000001" customHeight="1">
      <c r="B8" s="514" t="s">
        <v>5</v>
      </c>
      <c r="C8" s="476" t="s">
        <v>161</v>
      </c>
      <c r="D8" s="476" t="s">
        <v>162</v>
      </c>
      <c r="E8" s="476" t="s">
        <v>163</v>
      </c>
      <c r="F8" s="514" t="s">
        <v>164</v>
      </c>
      <c r="G8" s="514" t="s">
        <v>658</v>
      </c>
      <c r="H8" s="524" t="s">
        <v>166</v>
      </c>
      <c r="I8" s="525"/>
      <c r="J8" s="526"/>
    </row>
    <row r="9" spans="1:10" ht="20.100000000000001" customHeight="1">
      <c r="A9" s="2"/>
      <c r="B9" s="522"/>
      <c r="C9" s="527"/>
      <c r="D9" s="523"/>
      <c r="E9" s="527"/>
      <c r="F9" s="515"/>
      <c r="G9" s="515"/>
      <c r="H9" s="58" t="s">
        <v>167</v>
      </c>
      <c r="I9" s="10" t="s">
        <v>168</v>
      </c>
      <c r="J9" s="10" t="s">
        <v>169</v>
      </c>
    </row>
    <row r="10" spans="1:10" ht="24.95" customHeight="1">
      <c r="B10" s="10">
        <v>1</v>
      </c>
      <c r="C10" s="118" t="s">
        <v>659</v>
      </c>
      <c r="D10" s="119" t="s">
        <v>660</v>
      </c>
      <c r="E10" s="119" t="s">
        <v>661</v>
      </c>
      <c r="F10" s="120" t="s">
        <v>169</v>
      </c>
      <c r="G10" s="120" t="s">
        <v>169</v>
      </c>
      <c r="H10" s="120"/>
      <c r="I10" s="120" t="s">
        <v>578</v>
      </c>
      <c r="J10" s="120"/>
    </row>
    <row r="11" spans="1:10" ht="24.95" customHeight="1">
      <c r="B11" s="10">
        <f>B10+1</f>
        <v>2</v>
      </c>
      <c r="C11" s="121" t="s">
        <v>662</v>
      </c>
      <c r="D11" s="119" t="s">
        <v>663</v>
      </c>
      <c r="E11" s="119" t="s">
        <v>664</v>
      </c>
      <c r="F11" s="120" t="s">
        <v>169</v>
      </c>
      <c r="G11" s="120" t="s">
        <v>167</v>
      </c>
      <c r="H11" s="120"/>
      <c r="I11" s="120"/>
      <c r="J11" s="120" t="s">
        <v>578</v>
      </c>
    </row>
    <row r="12" spans="1:10" ht="24.95" customHeight="1">
      <c r="B12" s="10">
        <f t="shared" ref="B12:B19" si="0">B11+1</f>
        <v>3</v>
      </c>
      <c r="C12" s="121" t="s">
        <v>662</v>
      </c>
      <c r="D12" s="119" t="s">
        <v>665</v>
      </c>
      <c r="E12" s="119" t="s">
        <v>666</v>
      </c>
      <c r="F12" s="120" t="s">
        <v>167</v>
      </c>
      <c r="G12" s="120" t="s">
        <v>167</v>
      </c>
      <c r="H12" s="120"/>
      <c r="I12" s="120"/>
      <c r="J12" s="120" t="s">
        <v>578</v>
      </c>
    </row>
    <row r="13" spans="1:10" ht="24.95" customHeight="1">
      <c r="B13" s="10">
        <f t="shared" si="0"/>
        <v>4</v>
      </c>
      <c r="C13" s="121" t="s">
        <v>667</v>
      </c>
      <c r="D13" s="119" t="s">
        <v>668</v>
      </c>
      <c r="E13" s="119" t="s">
        <v>669</v>
      </c>
      <c r="F13" s="120" t="s">
        <v>169</v>
      </c>
      <c r="G13" s="120" t="s">
        <v>167</v>
      </c>
      <c r="H13" s="120"/>
      <c r="I13" s="120"/>
      <c r="J13" s="120" t="s">
        <v>578</v>
      </c>
    </row>
    <row r="14" spans="1:10" ht="24.95" customHeight="1">
      <c r="B14" s="10">
        <f t="shared" si="0"/>
        <v>5</v>
      </c>
      <c r="C14" s="121" t="s">
        <v>670</v>
      </c>
      <c r="D14" s="119" t="s">
        <v>671</v>
      </c>
      <c r="E14" s="119" t="s">
        <v>672</v>
      </c>
      <c r="F14" s="120" t="s">
        <v>167</v>
      </c>
      <c r="G14" s="120" t="s">
        <v>167</v>
      </c>
      <c r="H14" s="120" t="s">
        <v>578</v>
      </c>
      <c r="I14" s="120"/>
      <c r="J14" s="120"/>
    </row>
    <row r="15" spans="1:10" ht="24.95" customHeight="1">
      <c r="B15" s="10">
        <f t="shared" si="0"/>
        <v>6</v>
      </c>
      <c r="C15" s="121" t="s">
        <v>673</v>
      </c>
      <c r="D15" s="119" t="s">
        <v>674</v>
      </c>
      <c r="E15" s="119" t="s">
        <v>675</v>
      </c>
      <c r="F15" s="120" t="s">
        <v>169</v>
      </c>
      <c r="G15" s="120" t="s">
        <v>169</v>
      </c>
      <c r="H15" s="120"/>
      <c r="I15" s="120" t="s">
        <v>578</v>
      </c>
      <c r="J15" s="120"/>
    </row>
    <row r="16" spans="1:10" ht="24.95" customHeight="1">
      <c r="B16" s="10">
        <f t="shared" si="0"/>
        <v>7</v>
      </c>
      <c r="C16" s="121" t="s">
        <v>676</v>
      </c>
      <c r="D16" s="119" t="s">
        <v>677</v>
      </c>
      <c r="E16" s="119" t="s">
        <v>678</v>
      </c>
      <c r="F16" s="120" t="s">
        <v>169</v>
      </c>
      <c r="G16" s="120" t="s">
        <v>167</v>
      </c>
      <c r="H16" s="120"/>
      <c r="I16" s="120"/>
      <c r="J16" s="120" t="s">
        <v>578</v>
      </c>
    </row>
    <row r="17" spans="2:10" ht="24.95" customHeight="1">
      <c r="B17" s="10">
        <f t="shared" si="0"/>
        <v>8</v>
      </c>
      <c r="C17" s="119" t="s">
        <v>679</v>
      </c>
      <c r="D17" s="119" t="s">
        <v>680</v>
      </c>
      <c r="E17" s="119" t="s">
        <v>681</v>
      </c>
      <c r="F17" s="120" t="s">
        <v>167</v>
      </c>
      <c r="G17" s="120" t="s">
        <v>167</v>
      </c>
      <c r="H17" s="120"/>
      <c r="I17" s="120" t="s">
        <v>578</v>
      </c>
      <c r="J17" s="120"/>
    </row>
    <row r="18" spans="2:10" ht="24.95" customHeight="1">
      <c r="B18" s="10">
        <f t="shared" si="0"/>
        <v>9</v>
      </c>
      <c r="C18" s="121" t="s">
        <v>682</v>
      </c>
      <c r="D18" s="119" t="s">
        <v>683</v>
      </c>
      <c r="E18" s="119" t="s">
        <v>684</v>
      </c>
      <c r="F18" s="120" t="s">
        <v>169</v>
      </c>
      <c r="G18" s="120" t="s">
        <v>169</v>
      </c>
      <c r="H18" s="120"/>
      <c r="I18" s="120"/>
      <c r="J18" s="120" t="s">
        <v>578</v>
      </c>
    </row>
    <row r="19" spans="2:10" ht="24.95" customHeight="1">
      <c r="B19" s="10">
        <f t="shared" si="0"/>
        <v>10</v>
      </c>
      <c r="C19" s="121" t="s">
        <v>513</v>
      </c>
      <c r="D19" s="119" t="s">
        <v>685</v>
      </c>
      <c r="E19" s="119" t="s">
        <v>686</v>
      </c>
      <c r="F19" s="120" t="s">
        <v>167</v>
      </c>
      <c r="G19" s="120" t="s">
        <v>167</v>
      </c>
      <c r="H19" s="120"/>
      <c r="I19" s="120"/>
      <c r="J19" s="120" t="s">
        <v>578</v>
      </c>
    </row>
  </sheetData>
  <mergeCells count="8">
    <mergeCell ref="B4:J4"/>
    <mergeCell ref="B8:B9"/>
    <mergeCell ref="C8:C9"/>
    <mergeCell ref="D8:D9"/>
    <mergeCell ref="E8:E9"/>
    <mergeCell ref="F8:F9"/>
    <mergeCell ref="G8:G9"/>
    <mergeCell ref="H8:J8"/>
  </mergeCells>
  <pageMargins left="0.7" right="0.7" top="0.78740157499999996" bottom="0.78740157499999996" header="0.3" footer="0.3"/>
  <pageSetup paperSize="9" orientation="portrait" horizontalDpi="1200"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9F7C-5D48-47BB-A389-AE6AEBF7DCE4}">
  <dimension ref="A1:Q28"/>
  <sheetViews>
    <sheetView showGridLines="0" showRowColHeaders="0" zoomScale="80" zoomScaleNormal="80" workbookViewId="0"/>
  </sheetViews>
  <sheetFormatPr defaultColWidth="10.85546875" defaultRowHeight="12.75"/>
  <cols>
    <col min="1" max="1" width="1.28515625" style="1" customWidth="1"/>
    <col min="2" max="2" width="4.5703125" style="5" customWidth="1"/>
    <col min="3" max="3" width="20.5703125" style="1" customWidth="1"/>
    <col min="4" max="4" width="36.5703125" style="1" customWidth="1"/>
    <col min="5" max="9" width="6.140625" style="1" customWidth="1"/>
    <col min="10" max="10" width="4.5703125" style="5" customWidth="1"/>
    <col min="11" max="11" width="10.5703125" style="1" customWidth="1"/>
    <col min="12" max="12" width="46.5703125" style="1" customWidth="1"/>
    <col min="13" max="17" width="6.140625" style="1" customWidth="1"/>
    <col min="18" max="16384" width="10.85546875" style="1"/>
  </cols>
  <sheetData>
    <row r="1" spans="1:17" customFormat="1" ht="6.6" customHeight="1">
      <c r="A1" s="1"/>
      <c r="B1" s="1"/>
      <c r="C1" s="1"/>
      <c r="D1" s="1"/>
      <c r="E1" s="1"/>
      <c r="F1" s="1"/>
      <c r="G1" s="1"/>
      <c r="H1" s="1"/>
      <c r="I1" s="1"/>
      <c r="J1" s="1"/>
      <c r="K1" s="443"/>
      <c r="L1" s="443"/>
      <c r="M1" s="443"/>
      <c r="N1" s="443"/>
      <c r="O1" s="443"/>
      <c r="P1" s="443"/>
      <c r="Q1" s="443"/>
    </row>
    <row r="2" spans="1:17" customFormat="1" ht="18">
      <c r="A2" s="1"/>
      <c r="B2" s="421" t="s">
        <v>687</v>
      </c>
      <c r="C2" s="1"/>
      <c r="D2" s="1"/>
      <c r="E2" s="1"/>
      <c r="F2" s="3"/>
      <c r="G2" s="3"/>
      <c r="H2" s="4"/>
      <c r="I2" s="3"/>
      <c r="J2" s="4"/>
      <c r="K2" s="443"/>
      <c r="L2" s="443"/>
      <c r="M2" s="443"/>
      <c r="N2" s="443"/>
      <c r="O2" s="443"/>
      <c r="P2" s="443"/>
      <c r="Q2" s="443"/>
    </row>
    <row r="3" spans="1:17" ht="6.95" customHeight="1">
      <c r="B3" s="1"/>
      <c r="J3" s="1"/>
    </row>
    <row r="4" spans="1:17" ht="21.6" customHeight="1">
      <c r="B4" s="473" t="s">
        <v>688</v>
      </c>
      <c r="C4" s="547"/>
      <c r="D4" s="547"/>
      <c r="E4" s="547"/>
      <c r="F4" s="547"/>
      <c r="G4" s="547"/>
      <c r="H4" s="547"/>
      <c r="I4" s="547"/>
      <c r="J4" s="547"/>
      <c r="K4" s="547"/>
      <c r="L4" s="547"/>
      <c r="M4" s="547"/>
      <c r="N4" s="547"/>
      <c r="O4" s="547"/>
      <c r="P4" s="547"/>
      <c r="Q4" s="548"/>
    </row>
    <row r="5" spans="1:17" ht="8.4499999999999993" customHeight="1">
      <c r="B5" s="26"/>
      <c r="C5" s="13"/>
      <c r="D5" s="13"/>
      <c r="E5" s="13"/>
      <c r="F5" s="13"/>
      <c r="G5" s="13"/>
      <c r="H5" s="13"/>
      <c r="I5" s="13"/>
      <c r="J5" s="13"/>
      <c r="K5" s="13"/>
      <c r="L5" s="13"/>
      <c r="M5" s="13"/>
      <c r="N5" s="13"/>
      <c r="O5" s="13"/>
      <c r="P5" s="13"/>
      <c r="Q5" s="15"/>
    </row>
    <row r="6" spans="1:17" s="8" customFormat="1" ht="17.100000000000001" customHeight="1">
      <c r="A6" s="422"/>
      <c r="B6" s="530" t="s">
        <v>173</v>
      </c>
      <c r="C6" s="531"/>
      <c r="D6" s="565" t="s">
        <v>659</v>
      </c>
      <c r="E6" s="565"/>
      <c r="F6" s="565"/>
      <c r="G6" s="565"/>
      <c r="H6" s="565"/>
      <c r="I6" s="532" t="s">
        <v>174</v>
      </c>
      <c r="J6" s="533"/>
      <c r="K6" s="533"/>
      <c r="L6" s="566" t="s">
        <v>689</v>
      </c>
      <c r="M6" s="566"/>
      <c r="N6" s="566"/>
      <c r="O6" s="566"/>
      <c r="P6" s="566"/>
      <c r="Q6" s="124"/>
    </row>
    <row r="7" spans="1:17" s="8" customFormat="1" ht="7.5" customHeight="1">
      <c r="A7" s="422"/>
      <c r="B7" s="132"/>
      <c r="C7" s="419"/>
      <c r="D7" s="134"/>
      <c r="E7" s="134"/>
      <c r="F7" s="134"/>
      <c r="G7" s="134"/>
      <c r="H7" s="134"/>
      <c r="I7" s="133"/>
      <c r="J7" s="446"/>
      <c r="K7" s="419"/>
      <c r="L7" s="567"/>
      <c r="M7" s="567"/>
      <c r="N7" s="567"/>
      <c r="O7" s="567"/>
      <c r="P7" s="567"/>
      <c r="Q7" s="124"/>
    </row>
    <row r="8" spans="1:17" s="8" customFormat="1" ht="17.100000000000001" customHeight="1">
      <c r="A8" s="422"/>
      <c r="B8" s="530" t="s">
        <v>175</v>
      </c>
      <c r="C8" s="531"/>
      <c r="D8" s="565" t="s">
        <v>690</v>
      </c>
      <c r="E8" s="568"/>
      <c r="F8" s="568"/>
      <c r="G8" s="568"/>
      <c r="H8" s="568"/>
      <c r="I8" s="133"/>
      <c r="J8" s="446"/>
      <c r="K8" s="419"/>
      <c r="L8" s="567"/>
      <c r="M8" s="567"/>
      <c r="N8" s="567"/>
      <c r="O8" s="567"/>
      <c r="P8" s="567"/>
      <c r="Q8" s="124"/>
    </row>
    <row r="9" spans="1:17" ht="6.95" customHeight="1">
      <c r="B9" s="28"/>
      <c r="C9" s="20"/>
      <c r="D9" s="20"/>
      <c r="E9" s="20"/>
      <c r="F9" s="20"/>
      <c r="G9" s="20"/>
      <c r="H9" s="20"/>
      <c r="I9" s="20"/>
      <c r="J9" s="20"/>
      <c r="K9" s="20"/>
      <c r="L9" s="20"/>
      <c r="M9" s="20"/>
      <c r="N9" s="20"/>
      <c r="O9" s="20"/>
      <c r="P9" s="20"/>
      <c r="Q9" s="22"/>
    </row>
    <row r="10" spans="1:17" ht="21.6" customHeight="1">
      <c r="B10" s="549" t="s">
        <v>176</v>
      </c>
      <c r="C10" s="550"/>
      <c r="D10" s="551"/>
      <c r="E10" s="569" t="s">
        <v>177</v>
      </c>
      <c r="F10" s="570"/>
      <c r="G10" s="570"/>
      <c r="H10" s="570"/>
      <c r="I10" s="571"/>
      <c r="J10" s="534" t="s">
        <v>178</v>
      </c>
      <c r="K10" s="535"/>
      <c r="L10" s="536"/>
      <c r="M10" s="539" t="s">
        <v>179</v>
      </c>
      <c r="N10" s="540"/>
      <c r="O10" s="540"/>
      <c r="P10" s="540"/>
      <c r="Q10" s="541"/>
    </row>
    <row r="11" spans="1:17" ht="25.5" customHeight="1">
      <c r="B11" s="130" t="s">
        <v>5</v>
      </c>
      <c r="C11" s="552" t="s">
        <v>180</v>
      </c>
      <c r="D11" s="553"/>
      <c r="E11" s="127" t="s">
        <v>181</v>
      </c>
      <c r="F11" s="127" t="s">
        <v>103</v>
      </c>
      <c r="G11" s="127" t="s">
        <v>104</v>
      </c>
      <c r="H11" s="127" t="s">
        <v>105</v>
      </c>
      <c r="I11" s="127" t="s">
        <v>106</v>
      </c>
      <c r="J11" s="129" t="s">
        <v>5</v>
      </c>
      <c r="K11" s="554" t="s">
        <v>182</v>
      </c>
      <c r="L11" s="555"/>
      <c r="M11" s="125" t="s">
        <v>181</v>
      </c>
      <c r="N11" s="125" t="s">
        <v>103</v>
      </c>
      <c r="O11" s="125" t="s">
        <v>104</v>
      </c>
      <c r="P11" s="125" t="s">
        <v>105</v>
      </c>
      <c r="Q11" s="125" t="s">
        <v>106</v>
      </c>
    </row>
    <row r="12" spans="1:17" ht="18" customHeight="1">
      <c r="B12" s="128">
        <v>1</v>
      </c>
      <c r="C12" s="528" t="s">
        <v>579</v>
      </c>
      <c r="D12" s="537"/>
      <c r="E12" s="131"/>
      <c r="F12" s="131"/>
      <c r="G12" s="131" t="s">
        <v>578</v>
      </c>
      <c r="H12" s="131"/>
      <c r="I12" s="131"/>
      <c r="J12" s="126">
        <v>1</v>
      </c>
      <c r="K12" s="528" t="s">
        <v>691</v>
      </c>
      <c r="L12" s="537"/>
      <c r="M12" s="131"/>
      <c r="N12" s="131"/>
      <c r="O12" s="131"/>
      <c r="P12" s="131" t="s">
        <v>578</v>
      </c>
      <c r="Q12" s="131"/>
    </row>
    <row r="13" spans="1:17" ht="18" customHeight="1">
      <c r="B13" s="128">
        <f>B12+1</f>
        <v>2</v>
      </c>
      <c r="C13" s="528" t="s">
        <v>692</v>
      </c>
      <c r="D13" s="537"/>
      <c r="E13" s="131"/>
      <c r="F13" s="131"/>
      <c r="G13" s="131"/>
      <c r="H13" s="131" t="s">
        <v>578</v>
      </c>
      <c r="I13" s="131"/>
      <c r="J13" s="126">
        <f>J12+1</f>
        <v>2</v>
      </c>
      <c r="K13" s="528" t="s">
        <v>693</v>
      </c>
      <c r="L13" s="537"/>
      <c r="M13" s="131"/>
      <c r="N13" s="131" t="s">
        <v>578</v>
      </c>
      <c r="O13" s="131"/>
      <c r="P13" s="131"/>
      <c r="Q13" s="131"/>
    </row>
    <row r="14" spans="1:17" ht="18" customHeight="1">
      <c r="B14" s="128">
        <f t="shared" ref="B14:B26" si="0">B13+1</f>
        <v>3</v>
      </c>
      <c r="C14" s="528" t="s">
        <v>694</v>
      </c>
      <c r="D14" s="529"/>
      <c r="E14" s="131"/>
      <c r="F14" s="131"/>
      <c r="G14" s="131"/>
      <c r="H14" s="131" t="s">
        <v>578</v>
      </c>
      <c r="I14" s="131"/>
      <c r="J14" s="126">
        <f t="shared" ref="J14:J26" si="1">J13+1</f>
        <v>3</v>
      </c>
      <c r="K14" s="528" t="s">
        <v>695</v>
      </c>
      <c r="L14" s="537"/>
      <c r="M14" s="131"/>
      <c r="N14" s="131" t="s">
        <v>578</v>
      </c>
      <c r="O14" s="131"/>
      <c r="P14" s="131"/>
      <c r="Q14" s="131"/>
    </row>
    <row r="15" spans="1:17" ht="18" customHeight="1">
      <c r="B15" s="128">
        <f t="shared" si="0"/>
        <v>4</v>
      </c>
      <c r="C15" s="528" t="s">
        <v>696</v>
      </c>
      <c r="D15" s="529"/>
      <c r="E15" s="131"/>
      <c r="F15" s="131"/>
      <c r="G15" s="131"/>
      <c r="H15" s="131"/>
      <c r="I15" s="131" t="s">
        <v>578</v>
      </c>
      <c r="J15" s="126">
        <f t="shared" si="1"/>
        <v>4</v>
      </c>
      <c r="K15" s="528" t="s">
        <v>697</v>
      </c>
      <c r="L15" s="537"/>
      <c r="M15" s="131"/>
      <c r="N15" s="131"/>
      <c r="O15" s="131"/>
      <c r="P15" s="131" t="s">
        <v>578</v>
      </c>
      <c r="Q15" s="131"/>
    </row>
    <row r="16" spans="1:17" ht="18" customHeight="1">
      <c r="B16" s="128">
        <f t="shared" si="0"/>
        <v>5</v>
      </c>
      <c r="C16" s="528" t="s">
        <v>698</v>
      </c>
      <c r="D16" s="529"/>
      <c r="E16" s="131"/>
      <c r="F16" s="131"/>
      <c r="G16" s="131"/>
      <c r="H16" s="131"/>
      <c r="I16" s="131" t="s">
        <v>578</v>
      </c>
      <c r="J16" s="126">
        <f t="shared" si="1"/>
        <v>5</v>
      </c>
      <c r="K16" s="528" t="s">
        <v>699</v>
      </c>
      <c r="L16" s="538"/>
      <c r="M16" s="131"/>
      <c r="N16" s="131"/>
      <c r="O16" s="131"/>
      <c r="P16" s="131" t="s">
        <v>578</v>
      </c>
      <c r="Q16" s="131"/>
    </row>
    <row r="17" spans="2:17" ht="18" customHeight="1">
      <c r="B17" s="128">
        <f t="shared" si="0"/>
        <v>6</v>
      </c>
      <c r="C17" s="528" t="s">
        <v>700</v>
      </c>
      <c r="D17" s="529"/>
      <c r="E17" s="131"/>
      <c r="F17" s="131"/>
      <c r="G17" s="131"/>
      <c r="H17" s="131"/>
      <c r="I17" s="131" t="s">
        <v>578</v>
      </c>
      <c r="J17" s="126">
        <f t="shared" si="1"/>
        <v>6</v>
      </c>
      <c r="K17" s="528" t="s">
        <v>701</v>
      </c>
      <c r="L17" s="537"/>
      <c r="M17" s="131"/>
      <c r="N17" s="131"/>
      <c r="O17" s="131"/>
      <c r="P17" s="131"/>
      <c r="Q17" s="131" t="s">
        <v>578</v>
      </c>
    </row>
    <row r="18" spans="2:17" ht="18" customHeight="1">
      <c r="B18" s="128">
        <f t="shared" si="0"/>
        <v>7</v>
      </c>
      <c r="C18" s="528" t="s">
        <v>702</v>
      </c>
      <c r="D18" s="537"/>
      <c r="E18" s="131"/>
      <c r="F18" s="131"/>
      <c r="G18" s="131" t="s">
        <v>578</v>
      </c>
      <c r="H18" s="131"/>
      <c r="I18" s="131"/>
      <c r="J18" s="126">
        <f t="shared" si="1"/>
        <v>7</v>
      </c>
      <c r="K18" s="528" t="s">
        <v>703</v>
      </c>
      <c r="L18" s="529"/>
      <c r="M18" s="131"/>
      <c r="N18" s="131" t="s">
        <v>578</v>
      </c>
      <c r="O18" s="131"/>
      <c r="P18" s="131"/>
      <c r="Q18" s="131"/>
    </row>
    <row r="19" spans="2:17" ht="18" customHeight="1">
      <c r="B19" s="128">
        <f t="shared" si="0"/>
        <v>8</v>
      </c>
      <c r="C19" s="528" t="s">
        <v>704</v>
      </c>
      <c r="D19" s="537"/>
      <c r="E19" s="131" t="s">
        <v>578</v>
      </c>
      <c r="F19" s="131"/>
      <c r="G19" s="131"/>
      <c r="H19" s="131"/>
      <c r="I19" s="131"/>
      <c r="J19" s="126">
        <f t="shared" si="1"/>
        <v>8</v>
      </c>
      <c r="K19" s="528" t="s">
        <v>705</v>
      </c>
      <c r="L19" s="529"/>
      <c r="M19" s="131"/>
      <c r="N19" s="131"/>
      <c r="O19" s="131"/>
      <c r="P19" s="131" t="s">
        <v>578</v>
      </c>
      <c r="Q19" s="131"/>
    </row>
    <row r="20" spans="2:17" ht="18" customHeight="1">
      <c r="B20" s="128">
        <f t="shared" si="0"/>
        <v>9</v>
      </c>
      <c r="C20" s="528" t="s">
        <v>706</v>
      </c>
      <c r="D20" s="537"/>
      <c r="E20" s="131"/>
      <c r="F20" s="131" t="s">
        <v>578</v>
      </c>
      <c r="G20" s="131"/>
      <c r="H20" s="131"/>
      <c r="I20" s="131"/>
      <c r="J20" s="126">
        <f t="shared" si="1"/>
        <v>9</v>
      </c>
      <c r="K20" s="528" t="s">
        <v>707</v>
      </c>
      <c r="L20" s="537"/>
      <c r="M20" s="131"/>
      <c r="N20" s="131" t="s">
        <v>578</v>
      </c>
      <c r="O20" s="131"/>
      <c r="P20" s="131"/>
      <c r="Q20" s="131"/>
    </row>
    <row r="21" spans="2:17" ht="18" customHeight="1">
      <c r="B21" s="128">
        <f t="shared" si="0"/>
        <v>10</v>
      </c>
      <c r="C21" s="528" t="s">
        <v>708</v>
      </c>
      <c r="D21" s="537"/>
      <c r="E21" s="131"/>
      <c r="F21" s="131"/>
      <c r="G21" s="131" t="s">
        <v>578</v>
      </c>
      <c r="H21" s="131"/>
      <c r="I21" s="131"/>
      <c r="J21" s="126">
        <f t="shared" si="1"/>
        <v>10</v>
      </c>
      <c r="K21" s="528" t="s">
        <v>709</v>
      </c>
      <c r="L21" s="537"/>
      <c r="M21" s="131"/>
      <c r="N21" s="131" t="s">
        <v>578</v>
      </c>
      <c r="O21" s="131"/>
      <c r="P21" s="131"/>
      <c r="Q21" s="131"/>
    </row>
    <row r="22" spans="2:17" ht="18" customHeight="1">
      <c r="B22" s="128">
        <f t="shared" si="0"/>
        <v>11</v>
      </c>
      <c r="C22" s="528" t="s">
        <v>710</v>
      </c>
      <c r="D22" s="537"/>
      <c r="E22" s="131"/>
      <c r="F22" s="131" t="s">
        <v>578</v>
      </c>
      <c r="G22" s="131"/>
      <c r="H22" s="131"/>
      <c r="I22" s="131"/>
      <c r="J22" s="126">
        <f t="shared" si="1"/>
        <v>11</v>
      </c>
      <c r="K22" s="528" t="s">
        <v>711</v>
      </c>
      <c r="L22" s="538"/>
      <c r="M22" s="131"/>
      <c r="N22" s="131" t="s">
        <v>578</v>
      </c>
      <c r="O22" s="131"/>
      <c r="P22" s="131"/>
      <c r="Q22" s="131"/>
    </row>
    <row r="23" spans="2:17" ht="18" customHeight="1">
      <c r="B23" s="128">
        <f t="shared" si="0"/>
        <v>12</v>
      </c>
      <c r="C23" s="528" t="s">
        <v>712</v>
      </c>
      <c r="D23" s="537"/>
      <c r="E23" s="131"/>
      <c r="F23" s="131"/>
      <c r="G23" s="131"/>
      <c r="H23" s="131"/>
      <c r="I23" s="131" t="s">
        <v>578</v>
      </c>
      <c r="J23" s="126">
        <f t="shared" si="1"/>
        <v>12</v>
      </c>
      <c r="K23" s="528" t="s">
        <v>713</v>
      </c>
      <c r="L23" s="537"/>
      <c r="M23" s="131"/>
      <c r="N23" s="131" t="s">
        <v>578</v>
      </c>
      <c r="O23" s="131"/>
      <c r="P23" s="131"/>
      <c r="Q23" s="131"/>
    </row>
    <row r="24" spans="2:17" ht="18" customHeight="1">
      <c r="B24" s="128">
        <f t="shared" si="0"/>
        <v>13</v>
      </c>
      <c r="C24" s="528" t="s">
        <v>714</v>
      </c>
      <c r="D24" s="537"/>
      <c r="E24" s="131" t="s">
        <v>578</v>
      </c>
      <c r="F24" s="131"/>
      <c r="G24" s="131"/>
      <c r="H24" s="131"/>
      <c r="I24" s="131"/>
      <c r="J24" s="126">
        <f t="shared" si="1"/>
        <v>13</v>
      </c>
      <c r="K24" s="528" t="s">
        <v>715</v>
      </c>
      <c r="L24" s="537"/>
      <c r="M24" s="131"/>
      <c r="N24" s="131" t="s">
        <v>578</v>
      </c>
      <c r="O24" s="131"/>
      <c r="P24" s="131"/>
      <c r="Q24" s="131"/>
    </row>
    <row r="25" spans="2:17" ht="18" customHeight="1">
      <c r="B25" s="128">
        <f t="shared" si="0"/>
        <v>14</v>
      </c>
      <c r="C25" s="528" t="s">
        <v>716</v>
      </c>
      <c r="D25" s="529"/>
      <c r="E25" s="131" t="s">
        <v>578</v>
      </c>
      <c r="F25" s="131"/>
      <c r="G25" s="131"/>
      <c r="H25" s="131"/>
      <c r="I25" s="131"/>
      <c r="J25" s="126">
        <f t="shared" si="1"/>
        <v>14</v>
      </c>
      <c r="K25" s="528" t="s">
        <v>717</v>
      </c>
      <c r="L25" s="537"/>
      <c r="M25" s="131"/>
      <c r="N25" s="131" t="s">
        <v>578</v>
      </c>
      <c r="O25" s="131"/>
      <c r="P25" s="131"/>
      <c r="Q25" s="131"/>
    </row>
    <row r="26" spans="2:17" ht="18" customHeight="1">
      <c r="B26" s="128">
        <f t="shared" si="0"/>
        <v>15</v>
      </c>
      <c r="C26" s="528" t="s">
        <v>718</v>
      </c>
      <c r="D26" s="537"/>
      <c r="E26" s="131"/>
      <c r="F26" s="131"/>
      <c r="G26" s="131"/>
      <c r="H26" s="131" t="s">
        <v>578</v>
      </c>
      <c r="I26" s="131"/>
      <c r="J26" s="126">
        <f t="shared" si="1"/>
        <v>15</v>
      </c>
      <c r="K26" s="528" t="s">
        <v>719</v>
      </c>
      <c r="L26" s="537"/>
      <c r="M26" s="131"/>
      <c r="N26" s="131"/>
      <c r="O26" s="131" t="s">
        <v>578</v>
      </c>
      <c r="P26" s="131"/>
      <c r="Q26" s="131"/>
    </row>
    <row r="27" spans="2:17" ht="18" customHeight="1">
      <c r="B27" s="542" t="s">
        <v>183</v>
      </c>
      <c r="C27" s="543"/>
      <c r="D27" s="544"/>
      <c r="E27" s="556">
        <f>(4*4+3*3+3*2+2*1)/15</f>
        <v>2.2000000000000002</v>
      </c>
      <c r="F27" s="557"/>
      <c r="G27" s="557"/>
      <c r="H27" s="557"/>
      <c r="I27" s="558"/>
      <c r="J27" s="559" t="s">
        <v>184</v>
      </c>
      <c r="K27" s="560"/>
      <c r="L27" s="561"/>
      <c r="M27" s="562">
        <f>(4+4*3+1*2+9*1)/15</f>
        <v>1.8</v>
      </c>
      <c r="N27" s="563"/>
      <c r="O27" s="563"/>
      <c r="P27" s="563"/>
      <c r="Q27" s="564"/>
    </row>
    <row r="28" spans="2:17" ht="23.45" customHeight="1">
      <c r="B28" s="545" t="s">
        <v>185</v>
      </c>
      <c r="C28" s="546"/>
      <c r="D28" s="546"/>
      <c r="E28" s="546"/>
      <c r="F28" s="546"/>
      <c r="G28" s="546"/>
      <c r="H28" s="546"/>
      <c r="I28" s="546"/>
      <c r="J28" s="546"/>
      <c r="K28" s="546"/>
      <c r="L28" s="546"/>
      <c r="M28" s="546"/>
      <c r="N28" s="546"/>
      <c r="O28" s="546"/>
      <c r="P28" s="546"/>
      <c r="Q28" s="537"/>
    </row>
  </sheetData>
  <mergeCells count="48">
    <mergeCell ref="B4:Q4"/>
    <mergeCell ref="D6:H6"/>
    <mergeCell ref="B10:D10"/>
    <mergeCell ref="E10:I10"/>
    <mergeCell ref="J10:L10"/>
    <mergeCell ref="M10:Q10"/>
    <mergeCell ref="K16:L16"/>
    <mergeCell ref="C11:D11"/>
    <mergeCell ref="K11:L11"/>
    <mergeCell ref="C12:D12"/>
    <mergeCell ref="K12:L12"/>
    <mergeCell ref="C13:D13"/>
    <mergeCell ref="K13:L13"/>
    <mergeCell ref="C14:D14"/>
    <mergeCell ref="C15:D15"/>
    <mergeCell ref="C16:D16"/>
    <mergeCell ref="B28:Q28"/>
    <mergeCell ref="D8:H8"/>
    <mergeCell ref="L6:P8"/>
    <mergeCell ref="C26:D26"/>
    <mergeCell ref="K26:L26"/>
    <mergeCell ref="B27:D27"/>
    <mergeCell ref="E27:I27"/>
    <mergeCell ref="J27:L27"/>
    <mergeCell ref="M27:Q27"/>
    <mergeCell ref="C23:D23"/>
    <mergeCell ref="K23:L23"/>
    <mergeCell ref="C24:D24"/>
    <mergeCell ref="K24:L24"/>
    <mergeCell ref="K25:L25"/>
    <mergeCell ref="C20:D20"/>
    <mergeCell ref="K20:L20"/>
    <mergeCell ref="C25:D25"/>
    <mergeCell ref="K18:L18"/>
    <mergeCell ref="K19:L19"/>
    <mergeCell ref="I6:K6"/>
    <mergeCell ref="B6:C6"/>
    <mergeCell ref="B8:C8"/>
    <mergeCell ref="C21:D21"/>
    <mergeCell ref="K21:L21"/>
    <mergeCell ref="C22:D22"/>
    <mergeCell ref="K22:L22"/>
    <mergeCell ref="K17:L17"/>
    <mergeCell ref="C18:D18"/>
    <mergeCell ref="C19:D19"/>
    <mergeCell ref="C17:D17"/>
    <mergeCell ref="K14:L14"/>
    <mergeCell ref="K15:L15"/>
  </mergeCells>
  <pageMargins left="0.7" right="0.7" top="0.78740157499999996" bottom="0.78740157499999996" header="0.3" footer="0.3"/>
  <pageSetup paperSize="9" orientation="portrait" horizontalDpi="1200" verticalDpi="1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729F-907E-4778-95CF-909B6C6E039C}">
  <dimension ref="A1:AT37"/>
  <sheetViews>
    <sheetView showGridLines="0" showRowColHeaders="0" zoomScale="60" zoomScaleNormal="60" workbookViewId="0"/>
  </sheetViews>
  <sheetFormatPr defaultColWidth="11.42578125" defaultRowHeight="14.25"/>
  <cols>
    <col min="1" max="1" width="1" style="1" customWidth="1"/>
    <col min="2" max="2" width="3.42578125" style="1" customWidth="1"/>
    <col min="3" max="3" width="10.7109375" style="1" customWidth="1"/>
    <col min="4" max="4" width="11.28515625" style="1" customWidth="1"/>
    <col min="5" max="5" width="30.140625" style="1" customWidth="1"/>
    <col min="6" max="6" width="8" style="1" customWidth="1"/>
    <col min="7" max="7" width="9.85546875" style="1" customWidth="1"/>
    <col min="8" max="8" width="10" style="1" customWidth="1"/>
    <col min="9" max="9" width="9.5703125" style="1" customWidth="1"/>
    <col min="10" max="10" width="7" style="1" customWidth="1"/>
    <col min="11" max="11" width="7.140625" style="1" customWidth="1"/>
    <col min="12" max="13" width="3.5703125" style="101" customWidth="1"/>
    <col min="14" max="14" width="2.85546875" style="1" bestFit="1" customWidth="1"/>
    <col min="15" max="15" width="2.140625" style="1" bestFit="1" customWidth="1"/>
    <col min="16" max="16" width="6.42578125" style="1" customWidth="1"/>
    <col min="17" max="46" width="4.5703125" style="1" customWidth="1"/>
    <col min="47" max="16384" width="11.42578125" style="101"/>
  </cols>
  <sheetData>
    <row r="1" spans="1:46" ht="6.6" customHeight="1">
      <c r="L1" s="442"/>
      <c r="M1" s="442"/>
    </row>
    <row r="2" spans="1:46" ht="18">
      <c r="B2" s="421" t="s">
        <v>720</v>
      </c>
      <c r="G2" s="3"/>
      <c r="H2" s="3"/>
      <c r="I2" s="3"/>
      <c r="J2" s="3"/>
      <c r="K2" s="3"/>
      <c r="L2" s="442"/>
      <c r="M2" s="442"/>
      <c r="P2" s="590" t="s">
        <v>186</v>
      </c>
      <c r="Q2" s="591"/>
      <c r="R2" s="591"/>
      <c r="S2" s="591"/>
      <c r="T2" s="591"/>
      <c r="U2" s="591"/>
      <c r="V2" s="591"/>
      <c r="W2" s="591"/>
      <c r="X2" s="591"/>
      <c r="Y2" s="591"/>
      <c r="Z2" s="591"/>
      <c r="AA2" s="591"/>
      <c r="AB2" s="591"/>
      <c r="AC2" s="591"/>
      <c r="AD2" s="591"/>
      <c r="AE2" s="591"/>
      <c r="AF2" s="591"/>
      <c r="AG2" s="591"/>
      <c r="AH2" s="591"/>
      <c r="AI2" s="591"/>
      <c r="AJ2" s="591"/>
      <c r="AK2" s="591"/>
      <c r="AL2" s="591"/>
      <c r="AM2" s="591"/>
      <c r="AN2" s="591"/>
      <c r="AO2" s="591"/>
      <c r="AP2" s="591"/>
      <c r="AQ2" s="591"/>
      <c r="AR2" s="591"/>
      <c r="AS2" s="591"/>
      <c r="AT2" s="591"/>
    </row>
    <row r="3" spans="1:46" ht="6.6" customHeight="1">
      <c r="A3" s="422"/>
      <c r="B3" s="422"/>
      <c r="C3" s="422"/>
      <c r="D3" s="422"/>
      <c r="E3" s="422"/>
      <c r="F3" s="422"/>
      <c r="G3" s="422"/>
      <c r="H3" s="422"/>
      <c r="I3" s="422"/>
      <c r="J3" s="422"/>
      <c r="K3" s="422"/>
      <c r="L3" s="442"/>
      <c r="M3" s="442"/>
    </row>
    <row r="4" spans="1:46" ht="18.75" customHeight="1">
      <c r="A4" s="422"/>
      <c r="B4" s="516" t="s">
        <v>190</v>
      </c>
      <c r="C4" s="517"/>
      <c r="D4" s="517"/>
      <c r="E4" s="517"/>
      <c r="F4" s="517"/>
      <c r="G4" s="517"/>
      <c r="H4" s="517"/>
      <c r="I4" s="517"/>
      <c r="J4" s="517"/>
      <c r="K4" s="518"/>
      <c r="L4" s="442"/>
      <c r="M4" s="592" t="s">
        <v>191</v>
      </c>
      <c r="N4" s="577">
        <v>3</v>
      </c>
      <c r="O4" s="136">
        <v>9</v>
      </c>
      <c r="P4" s="803" t="s">
        <v>105</v>
      </c>
      <c r="Q4" s="142"/>
      <c r="R4" s="143"/>
      <c r="S4" s="143"/>
      <c r="T4" s="143"/>
      <c r="U4" s="143"/>
      <c r="V4" s="143"/>
      <c r="W4" s="143"/>
      <c r="X4" s="143"/>
      <c r="Y4" s="143"/>
      <c r="Z4" s="144"/>
      <c r="AA4" s="142"/>
      <c r="AB4" s="143"/>
      <c r="AC4" s="143"/>
      <c r="AD4" s="143"/>
      <c r="AE4" s="143"/>
      <c r="AF4" s="143"/>
      <c r="AG4" s="143"/>
      <c r="AH4" s="143"/>
      <c r="AI4" s="143"/>
      <c r="AJ4" s="144"/>
      <c r="AK4" s="145"/>
      <c r="AL4" s="146"/>
      <c r="AM4" s="146"/>
      <c r="AN4" s="146"/>
      <c r="AO4" s="146"/>
      <c r="AP4" s="146"/>
      <c r="AQ4" s="146"/>
      <c r="AR4" s="146"/>
      <c r="AS4" s="146"/>
      <c r="AT4" s="147"/>
    </row>
    <row r="5" spans="1:46" ht="18" customHeight="1">
      <c r="B5" s="12"/>
      <c r="C5" s="13"/>
      <c r="D5" s="13"/>
      <c r="E5" s="13"/>
      <c r="F5" s="13"/>
      <c r="G5" s="13"/>
      <c r="H5" s="13"/>
      <c r="I5" s="13"/>
      <c r="J5" s="13"/>
      <c r="K5" s="15"/>
      <c r="L5" s="442"/>
      <c r="M5" s="592"/>
      <c r="N5" s="577"/>
      <c r="O5" s="136">
        <v>8</v>
      </c>
      <c r="P5" s="738"/>
      <c r="Q5" s="148"/>
      <c r="R5" s="149"/>
      <c r="S5" s="149"/>
      <c r="T5" s="149"/>
      <c r="U5" s="149"/>
      <c r="V5" s="149"/>
      <c r="W5" s="149"/>
      <c r="X5" s="149"/>
      <c r="Y5" s="149"/>
      <c r="Z5" s="150"/>
      <c r="AA5" s="148"/>
      <c r="AB5" s="149"/>
      <c r="AC5" s="149"/>
      <c r="AD5" s="149"/>
      <c r="AE5" s="149"/>
      <c r="AF5" s="149"/>
      <c r="AG5" s="149"/>
      <c r="AH5" s="149"/>
      <c r="AI5" s="149"/>
      <c r="AJ5" s="150"/>
      <c r="AK5" s="151"/>
      <c r="AL5" s="152"/>
      <c r="AM5" s="152"/>
      <c r="AN5" s="152"/>
      <c r="AO5" s="152"/>
      <c r="AP5" s="152"/>
      <c r="AQ5" s="152"/>
      <c r="AR5" s="152"/>
      <c r="AS5" s="152"/>
      <c r="AT5" s="153"/>
    </row>
    <row r="6" spans="1:46" ht="18" customHeight="1">
      <c r="B6" s="530" t="s">
        <v>45</v>
      </c>
      <c r="C6" s="533"/>
      <c r="D6" s="593" t="s">
        <v>496</v>
      </c>
      <c r="E6" s="593"/>
      <c r="F6" s="133"/>
      <c r="G6" s="23" t="s">
        <v>57</v>
      </c>
      <c r="H6" s="594">
        <v>44902</v>
      </c>
      <c r="I6" s="595"/>
      <c r="J6" s="141"/>
      <c r="K6" s="124"/>
      <c r="L6" s="442"/>
      <c r="M6" s="592"/>
      <c r="N6" s="577"/>
      <c r="O6" s="136">
        <v>7</v>
      </c>
      <c r="P6" s="738"/>
      <c r="Q6" s="148"/>
      <c r="R6" s="149"/>
      <c r="S6" s="149"/>
      <c r="T6" s="149"/>
      <c r="U6" s="149"/>
      <c r="V6" s="149"/>
      <c r="W6" s="149"/>
      <c r="X6" s="149"/>
      <c r="Y6" s="149"/>
      <c r="Z6" s="150"/>
      <c r="AA6" s="148"/>
      <c r="AB6" s="149"/>
      <c r="AC6" s="149"/>
      <c r="AD6" s="149"/>
      <c r="AE6" s="149"/>
      <c r="AF6" s="149"/>
      <c r="AG6" s="149"/>
      <c r="AH6" s="149"/>
      <c r="AI6" s="149"/>
      <c r="AJ6" s="150"/>
      <c r="AK6" s="151"/>
      <c r="AL6" s="152"/>
      <c r="AM6" s="152"/>
      <c r="AN6" s="152"/>
      <c r="AO6" s="152"/>
      <c r="AP6" s="152"/>
      <c r="AQ6" s="152"/>
      <c r="AR6" s="152"/>
      <c r="AS6" s="152"/>
      <c r="AT6" s="153"/>
    </row>
    <row r="7" spans="1:46" ht="18" customHeight="1">
      <c r="B7" s="19"/>
      <c r="C7" s="20"/>
      <c r="D7" s="20"/>
      <c r="E7" s="20"/>
      <c r="F7" s="20"/>
      <c r="G7" s="20"/>
      <c r="H7" s="20"/>
      <c r="I7" s="20"/>
      <c r="J7" s="20"/>
      <c r="K7" s="22"/>
      <c r="L7" s="442"/>
      <c r="M7" s="592"/>
      <c r="N7" s="577"/>
      <c r="O7" s="136">
        <v>6</v>
      </c>
      <c r="P7" s="738"/>
      <c r="Q7" s="148"/>
      <c r="R7" s="149"/>
      <c r="S7" s="149"/>
      <c r="T7" s="149"/>
      <c r="U7" s="149"/>
      <c r="V7" s="149"/>
      <c r="W7" s="149"/>
      <c r="X7" s="149"/>
      <c r="Y7" s="149"/>
      <c r="Z7" s="150"/>
      <c r="AA7" s="148"/>
      <c r="AB7" s="149"/>
      <c r="AC7" s="149"/>
      <c r="AD7" s="149"/>
      <c r="AE7" s="149"/>
      <c r="AF7" s="149"/>
      <c r="AG7" s="149"/>
      <c r="AH7" s="149"/>
      <c r="AI7" s="149"/>
      <c r="AJ7" s="150"/>
      <c r="AK7" s="151"/>
      <c r="AL7" s="152"/>
      <c r="AM7" s="152"/>
      <c r="AN7" s="152"/>
      <c r="AO7" s="152"/>
      <c r="AP7" s="152"/>
      <c r="AQ7" s="152"/>
      <c r="AR7" s="152"/>
      <c r="AS7" s="152"/>
      <c r="AT7" s="153"/>
    </row>
    <row r="8" spans="1:46" ht="18" customHeight="1">
      <c r="B8" s="514" t="s">
        <v>5</v>
      </c>
      <c r="C8" s="597" t="s">
        <v>192</v>
      </c>
      <c r="D8" s="598"/>
      <c r="E8" s="597" t="s">
        <v>193</v>
      </c>
      <c r="F8" s="598"/>
      <c r="G8" s="603" t="s">
        <v>194</v>
      </c>
      <c r="H8" s="603" t="s">
        <v>195</v>
      </c>
      <c r="I8" s="603" t="s">
        <v>196</v>
      </c>
      <c r="J8" s="603" t="s">
        <v>197</v>
      </c>
      <c r="K8" s="603" t="s">
        <v>197</v>
      </c>
      <c r="L8" s="442"/>
      <c r="M8" s="592"/>
      <c r="N8" s="577"/>
      <c r="O8" s="136">
        <v>5</v>
      </c>
      <c r="P8" s="738"/>
      <c r="Q8" s="148"/>
      <c r="R8" s="149"/>
      <c r="S8" s="149"/>
      <c r="T8" s="149"/>
      <c r="U8" s="149"/>
      <c r="V8" s="149"/>
      <c r="W8" s="149"/>
      <c r="X8" s="149"/>
      <c r="Y8" s="149"/>
      <c r="Z8" s="150"/>
      <c r="AA8" s="148"/>
      <c r="AB8" s="149"/>
      <c r="AC8" s="149"/>
      <c r="AD8" s="149"/>
      <c r="AE8" s="149"/>
      <c r="AF8" s="149"/>
      <c r="AG8" s="149"/>
      <c r="AH8" s="149"/>
      <c r="AI8" s="149"/>
      <c r="AJ8" s="150"/>
      <c r="AK8" s="151"/>
      <c r="AL8" s="152"/>
      <c r="AM8" s="152"/>
      <c r="AN8" s="152"/>
      <c r="AO8" s="152"/>
      <c r="AP8" s="152"/>
      <c r="AQ8" s="152"/>
      <c r="AR8" s="152"/>
      <c r="AS8" s="152"/>
      <c r="AT8" s="153"/>
    </row>
    <row r="9" spans="1:46" ht="18" customHeight="1">
      <c r="A9" s="2"/>
      <c r="B9" s="596"/>
      <c r="C9" s="599"/>
      <c r="D9" s="600"/>
      <c r="E9" s="599"/>
      <c r="F9" s="600"/>
      <c r="G9" s="604"/>
      <c r="H9" s="604"/>
      <c r="I9" s="515"/>
      <c r="J9" s="515"/>
      <c r="K9" s="604"/>
      <c r="L9" s="442"/>
      <c r="M9" s="592"/>
      <c r="N9" s="577"/>
      <c r="O9" s="136">
        <v>4</v>
      </c>
      <c r="P9" s="738"/>
      <c r="Q9" s="148"/>
      <c r="R9" s="149"/>
      <c r="S9" s="149"/>
      <c r="T9" s="149"/>
      <c r="U9" s="149"/>
      <c r="V9" s="149"/>
      <c r="W9" s="149"/>
      <c r="X9" s="149"/>
      <c r="Y9" s="149"/>
      <c r="Z9" s="150"/>
      <c r="AA9" s="148"/>
      <c r="AB9" s="149"/>
      <c r="AC9" s="149"/>
      <c r="AD9" s="149"/>
      <c r="AE9" s="149"/>
      <c r="AF9" s="149"/>
      <c r="AG9" s="149"/>
      <c r="AH9" s="149"/>
      <c r="AI9" s="149"/>
      <c r="AJ9" s="150"/>
      <c r="AK9" s="151"/>
      <c r="AL9" s="152"/>
      <c r="AM9" s="152"/>
      <c r="AN9" s="152"/>
      <c r="AO9" s="152"/>
      <c r="AP9" s="152"/>
      <c r="AQ9" s="152"/>
      <c r="AR9" s="152"/>
      <c r="AS9" s="152"/>
      <c r="AT9" s="153"/>
    </row>
    <row r="10" spans="1:46" ht="18" customHeight="1">
      <c r="B10" s="515"/>
      <c r="C10" s="601"/>
      <c r="D10" s="602"/>
      <c r="E10" s="601"/>
      <c r="F10" s="602"/>
      <c r="G10" s="135" t="s">
        <v>198</v>
      </c>
      <c r="H10" s="135" t="s">
        <v>199</v>
      </c>
      <c r="I10" s="135" t="s">
        <v>200</v>
      </c>
      <c r="J10" s="135">
        <v>123</v>
      </c>
      <c r="K10" s="135" t="s">
        <v>201</v>
      </c>
      <c r="L10" s="442"/>
      <c r="M10" s="592"/>
      <c r="N10" s="577"/>
      <c r="O10" s="136">
        <v>3</v>
      </c>
      <c r="P10" s="738"/>
      <c r="Q10" s="148"/>
      <c r="R10" s="149"/>
      <c r="S10" s="149"/>
      <c r="T10" s="149"/>
      <c r="U10" s="149"/>
      <c r="V10" s="149"/>
      <c r="W10" s="149"/>
      <c r="X10" s="149"/>
      <c r="Y10" s="149"/>
      <c r="Z10" s="150"/>
      <c r="AA10" s="148"/>
      <c r="AB10" s="149"/>
      <c r="AC10" s="149"/>
      <c r="AD10" s="149"/>
      <c r="AE10" s="149"/>
      <c r="AF10" s="149"/>
      <c r="AG10" s="149"/>
      <c r="AH10" s="149"/>
      <c r="AI10" s="154" t="s">
        <v>721</v>
      </c>
      <c r="AJ10" s="150"/>
      <c r="AK10" s="151"/>
      <c r="AL10" s="152"/>
      <c r="AM10" s="152"/>
      <c r="AN10" s="152"/>
      <c r="AO10" s="152"/>
      <c r="AP10" s="152"/>
      <c r="AQ10" s="152"/>
      <c r="AR10" s="152"/>
      <c r="AS10" s="152"/>
      <c r="AT10" s="153"/>
    </row>
    <row r="11" spans="1:46" ht="18" customHeight="1">
      <c r="B11" s="476">
        <v>1</v>
      </c>
      <c r="C11" s="578" t="s">
        <v>659</v>
      </c>
      <c r="D11" s="579" t="s">
        <v>659</v>
      </c>
      <c r="E11" s="578" t="s">
        <v>661</v>
      </c>
      <c r="F11" s="584" t="s">
        <v>661</v>
      </c>
      <c r="G11" s="582">
        <v>2.2000000000000002</v>
      </c>
      <c r="H11" s="582">
        <v>2.1</v>
      </c>
      <c r="I11" s="582">
        <f>G11/H11</f>
        <v>1.0476190476190477</v>
      </c>
      <c r="J11" s="573" t="s">
        <v>722</v>
      </c>
      <c r="K11" s="805" t="s">
        <v>75</v>
      </c>
      <c r="L11" s="442"/>
      <c r="M11" s="592"/>
      <c r="N11" s="577"/>
      <c r="O11" s="136">
        <v>2</v>
      </c>
      <c r="P11" s="738"/>
      <c r="Q11" s="148"/>
      <c r="R11" s="149"/>
      <c r="S11" s="149"/>
      <c r="T11" s="149"/>
      <c r="U11" s="149"/>
      <c r="V11" s="149"/>
      <c r="W11" s="149"/>
      <c r="X11" s="149"/>
      <c r="Y11" s="149"/>
      <c r="Z11" s="150"/>
      <c r="AA11" s="148"/>
      <c r="AB11" s="149"/>
      <c r="AC11" s="149"/>
      <c r="AD11" s="149"/>
      <c r="AE11" s="149"/>
      <c r="AF11" s="149"/>
      <c r="AG11" s="149"/>
      <c r="AH11" s="149"/>
      <c r="AI11" s="149"/>
      <c r="AJ11" s="150"/>
      <c r="AK11" s="151"/>
      <c r="AL11" s="152"/>
      <c r="AM11" s="152"/>
      <c r="AN11" s="152"/>
      <c r="AO11" s="152"/>
      <c r="AP11" s="152"/>
      <c r="AQ11" s="152"/>
      <c r="AR11" s="152"/>
      <c r="AS11" s="152"/>
      <c r="AT11" s="153"/>
    </row>
    <row r="12" spans="1:46" ht="18" customHeight="1">
      <c r="B12" s="527"/>
      <c r="C12" s="580" t="s">
        <v>662</v>
      </c>
      <c r="D12" s="581" t="s">
        <v>662</v>
      </c>
      <c r="E12" s="585" t="s">
        <v>664</v>
      </c>
      <c r="F12" s="586" t="s">
        <v>664</v>
      </c>
      <c r="G12" s="583"/>
      <c r="H12" s="583"/>
      <c r="I12" s="583"/>
      <c r="J12" s="515"/>
      <c r="K12" s="806"/>
      <c r="L12" s="442"/>
      <c r="M12" s="592"/>
      <c r="N12" s="577"/>
      <c r="O12" s="136">
        <v>1</v>
      </c>
      <c r="P12" s="738"/>
      <c r="Q12" s="148"/>
      <c r="R12" s="149"/>
      <c r="S12" s="149"/>
      <c r="T12" s="149"/>
      <c r="U12" s="149"/>
      <c r="V12" s="149"/>
      <c r="W12" s="149"/>
      <c r="X12" s="149"/>
      <c r="Y12" s="149"/>
      <c r="Z12" s="150"/>
      <c r="AA12" s="148"/>
      <c r="AB12" s="149"/>
      <c r="AC12" s="149"/>
      <c r="AD12" s="149"/>
      <c r="AE12" s="149"/>
      <c r="AF12" s="149"/>
      <c r="AG12" s="149"/>
      <c r="AH12" s="149"/>
      <c r="AI12" s="149"/>
      <c r="AJ12" s="150"/>
      <c r="AK12" s="151"/>
      <c r="AL12" s="152"/>
      <c r="AM12" s="152"/>
      <c r="AN12" s="152"/>
      <c r="AO12" s="152"/>
      <c r="AP12" s="152"/>
      <c r="AQ12" s="152"/>
      <c r="AR12" s="152"/>
      <c r="AS12" s="152"/>
      <c r="AT12" s="153"/>
    </row>
    <row r="13" spans="1:46" ht="18" customHeight="1">
      <c r="B13" s="476">
        <v>2</v>
      </c>
      <c r="C13" s="578" t="s">
        <v>662</v>
      </c>
      <c r="D13" s="579" t="s">
        <v>662</v>
      </c>
      <c r="E13" s="578" t="s">
        <v>723</v>
      </c>
      <c r="F13" s="584" t="s">
        <v>666</v>
      </c>
      <c r="G13" s="582">
        <v>2.9</v>
      </c>
      <c r="H13" s="582">
        <v>1.4</v>
      </c>
      <c r="I13" s="582">
        <f t="shared" ref="I13" si="0">G13/H13</f>
        <v>2.0714285714285716</v>
      </c>
      <c r="J13" s="573" t="s">
        <v>724</v>
      </c>
      <c r="K13" s="809" t="s">
        <v>59</v>
      </c>
      <c r="L13" s="442"/>
      <c r="M13" s="592"/>
      <c r="N13" s="577"/>
      <c r="O13" s="136">
        <v>0</v>
      </c>
      <c r="P13" s="804"/>
      <c r="Q13" s="155"/>
      <c r="R13" s="156"/>
      <c r="S13" s="156"/>
      <c r="T13" s="156"/>
      <c r="U13" s="156"/>
      <c r="V13" s="156"/>
      <c r="W13" s="156"/>
      <c r="X13" s="156"/>
      <c r="Y13" s="156"/>
      <c r="Z13" s="157"/>
      <c r="AA13" s="155"/>
      <c r="AB13" s="156"/>
      <c r="AC13" s="156"/>
      <c r="AD13" s="156"/>
      <c r="AE13" s="156"/>
      <c r="AF13" s="156"/>
      <c r="AG13" s="156"/>
      <c r="AH13" s="156"/>
      <c r="AI13" s="156"/>
      <c r="AJ13" s="157"/>
      <c r="AK13" s="158"/>
      <c r="AL13" s="159"/>
      <c r="AM13" s="159"/>
      <c r="AN13" s="159"/>
      <c r="AO13" s="159"/>
      <c r="AP13" s="159"/>
      <c r="AQ13" s="159"/>
      <c r="AR13" s="159"/>
      <c r="AS13" s="159"/>
      <c r="AT13" s="160"/>
    </row>
    <row r="14" spans="1:46" ht="18" customHeight="1">
      <c r="B14" s="527"/>
      <c r="C14" s="580" t="s">
        <v>667</v>
      </c>
      <c r="D14" s="581" t="s">
        <v>667</v>
      </c>
      <c r="E14" s="585" t="s">
        <v>669</v>
      </c>
      <c r="F14" s="586" t="s">
        <v>669</v>
      </c>
      <c r="G14" s="583"/>
      <c r="H14" s="583"/>
      <c r="I14" s="583"/>
      <c r="J14" s="515"/>
      <c r="K14" s="810"/>
      <c r="L14" s="442"/>
      <c r="M14" s="592"/>
      <c r="N14" s="577">
        <v>2</v>
      </c>
      <c r="O14" s="136">
        <v>9</v>
      </c>
      <c r="P14" s="803" t="s">
        <v>104</v>
      </c>
      <c r="Q14" s="142"/>
      <c r="R14" s="143"/>
      <c r="S14" s="143"/>
      <c r="T14" s="143"/>
      <c r="U14" s="161" t="s">
        <v>725</v>
      </c>
      <c r="V14" s="143"/>
      <c r="W14" s="143"/>
      <c r="X14" s="143"/>
      <c r="Y14" s="143"/>
      <c r="Z14" s="144"/>
      <c r="AA14" s="145"/>
      <c r="AB14" s="146"/>
      <c r="AC14" s="146"/>
      <c r="AD14" s="146"/>
      <c r="AE14" s="146"/>
      <c r="AF14" s="146"/>
      <c r="AG14" s="146"/>
      <c r="AH14" s="146"/>
      <c r="AI14" s="146"/>
      <c r="AJ14" s="147"/>
      <c r="AK14" s="162"/>
      <c r="AL14" s="163"/>
      <c r="AM14" s="163"/>
      <c r="AN14" s="163"/>
      <c r="AO14" s="163"/>
      <c r="AP14" s="163"/>
      <c r="AQ14" s="163"/>
      <c r="AR14" s="163"/>
      <c r="AS14" s="163"/>
      <c r="AT14" s="164"/>
    </row>
    <row r="15" spans="1:46" ht="18" customHeight="1">
      <c r="B15" s="476">
        <v>3</v>
      </c>
      <c r="C15" s="578" t="s">
        <v>662</v>
      </c>
      <c r="D15" s="579" t="s">
        <v>670</v>
      </c>
      <c r="E15" s="578" t="s">
        <v>726</v>
      </c>
      <c r="F15" s="584" t="s">
        <v>672</v>
      </c>
      <c r="G15" s="582">
        <v>3.3</v>
      </c>
      <c r="H15" s="582">
        <v>1.8</v>
      </c>
      <c r="I15" s="582">
        <f t="shared" ref="I15" si="1">G15/H15</f>
        <v>1.8333333333333333</v>
      </c>
      <c r="J15" s="573" t="s">
        <v>727</v>
      </c>
      <c r="K15" s="809" t="s">
        <v>59</v>
      </c>
      <c r="L15" s="442"/>
      <c r="M15" s="592"/>
      <c r="N15" s="577"/>
      <c r="O15" s="136">
        <v>8</v>
      </c>
      <c r="P15" s="738"/>
      <c r="Q15" s="148"/>
      <c r="R15" s="149"/>
      <c r="S15" s="149"/>
      <c r="T15" s="149"/>
      <c r="U15" s="149"/>
      <c r="V15" s="149"/>
      <c r="W15" s="149"/>
      <c r="X15" s="149"/>
      <c r="Y15" s="149"/>
      <c r="Z15" s="150"/>
      <c r="AA15" s="151"/>
      <c r="AB15" s="152"/>
      <c r="AC15" s="152"/>
      <c r="AD15" s="152"/>
      <c r="AE15" s="152"/>
      <c r="AF15" s="152"/>
      <c r="AG15" s="152"/>
      <c r="AH15" s="152"/>
      <c r="AI15" s="152"/>
      <c r="AJ15" s="153"/>
      <c r="AK15" s="165"/>
      <c r="AL15" s="166"/>
      <c r="AM15" s="166"/>
      <c r="AN15" s="166"/>
      <c r="AO15" s="166"/>
      <c r="AP15" s="166"/>
      <c r="AQ15" s="166"/>
      <c r="AR15" s="166"/>
      <c r="AS15" s="166"/>
      <c r="AT15" s="167"/>
    </row>
    <row r="16" spans="1:46" ht="18" customHeight="1">
      <c r="B16" s="527"/>
      <c r="C16" s="580" t="s">
        <v>673</v>
      </c>
      <c r="D16" s="581" t="s">
        <v>673</v>
      </c>
      <c r="E16" s="585" t="s">
        <v>675</v>
      </c>
      <c r="F16" s="586" t="s">
        <v>675</v>
      </c>
      <c r="G16" s="583"/>
      <c r="H16" s="583"/>
      <c r="I16" s="583"/>
      <c r="J16" s="515"/>
      <c r="K16" s="810"/>
      <c r="L16" s="442"/>
      <c r="M16" s="592"/>
      <c r="N16" s="577"/>
      <c r="O16" s="136">
        <v>7</v>
      </c>
      <c r="P16" s="738"/>
      <c r="Q16" s="148"/>
      <c r="R16" s="149"/>
      <c r="S16" s="149"/>
      <c r="T16" s="149"/>
      <c r="U16" s="149"/>
      <c r="V16" s="149"/>
      <c r="W16" s="149"/>
      <c r="X16" s="149"/>
      <c r="Y16" s="154" t="s">
        <v>728</v>
      </c>
      <c r="Z16" s="150"/>
      <c r="AA16" s="151"/>
      <c r="AB16" s="152"/>
      <c r="AC16" s="152"/>
      <c r="AD16" s="152"/>
      <c r="AE16" s="152"/>
      <c r="AF16" s="152"/>
      <c r="AG16" s="152"/>
      <c r="AH16" s="152"/>
      <c r="AI16" s="152"/>
      <c r="AJ16" s="153"/>
      <c r="AK16" s="165"/>
      <c r="AL16" s="166"/>
      <c r="AM16" s="166"/>
      <c r="AN16" s="166"/>
      <c r="AO16" s="166"/>
      <c r="AP16" s="166"/>
      <c r="AQ16" s="166"/>
      <c r="AR16" s="166"/>
      <c r="AS16" s="166"/>
      <c r="AT16" s="167"/>
    </row>
    <row r="17" spans="2:46" ht="18" customHeight="1">
      <c r="B17" s="476">
        <v>4</v>
      </c>
      <c r="C17" s="578" t="s">
        <v>676</v>
      </c>
      <c r="D17" s="579" t="s">
        <v>676</v>
      </c>
      <c r="E17" s="578" t="s">
        <v>729</v>
      </c>
      <c r="F17" s="584" t="s">
        <v>678</v>
      </c>
      <c r="G17" s="582">
        <v>2.4</v>
      </c>
      <c r="H17" s="582">
        <v>1.5</v>
      </c>
      <c r="I17" s="582">
        <f t="shared" ref="I17" si="2">G17/H17</f>
        <v>1.5999999999999999</v>
      </c>
      <c r="J17" s="573" t="s">
        <v>730</v>
      </c>
      <c r="K17" s="805" t="s">
        <v>75</v>
      </c>
      <c r="L17" s="442"/>
      <c r="M17" s="592"/>
      <c r="N17" s="577"/>
      <c r="O17" s="136">
        <v>6</v>
      </c>
      <c r="P17" s="738"/>
      <c r="Q17" s="148"/>
      <c r="R17" s="149"/>
      <c r="S17" s="149"/>
      <c r="T17" s="149"/>
      <c r="U17" s="149"/>
      <c r="V17" s="149"/>
      <c r="W17" s="149"/>
      <c r="X17" s="149"/>
      <c r="Y17" s="149"/>
      <c r="Z17" s="150"/>
      <c r="AA17" s="151"/>
      <c r="AB17" s="152"/>
      <c r="AC17" s="152"/>
      <c r="AD17" s="152"/>
      <c r="AE17" s="152"/>
      <c r="AF17" s="152"/>
      <c r="AG17" s="152"/>
      <c r="AH17" s="152"/>
      <c r="AI17" s="152"/>
      <c r="AJ17" s="153"/>
      <c r="AK17" s="165"/>
      <c r="AL17" s="166"/>
      <c r="AM17" s="166"/>
      <c r="AN17" s="166"/>
      <c r="AO17" s="166"/>
      <c r="AP17" s="166"/>
      <c r="AQ17" s="166"/>
      <c r="AR17" s="166"/>
      <c r="AS17" s="166"/>
      <c r="AT17" s="167"/>
    </row>
    <row r="18" spans="2:46" ht="18" customHeight="1">
      <c r="B18" s="527"/>
      <c r="C18" s="580" t="s">
        <v>731</v>
      </c>
      <c r="D18" s="581" t="s">
        <v>731</v>
      </c>
      <c r="E18" s="585" t="s">
        <v>681</v>
      </c>
      <c r="F18" s="586" t="s">
        <v>681</v>
      </c>
      <c r="G18" s="583"/>
      <c r="H18" s="583"/>
      <c r="I18" s="583"/>
      <c r="J18" s="515"/>
      <c r="K18" s="806"/>
      <c r="L18" s="442"/>
      <c r="M18" s="592"/>
      <c r="N18" s="577"/>
      <c r="O18" s="136">
        <v>5</v>
      </c>
      <c r="P18" s="738"/>
      <c r="Q18" s="148"/>
      <c r="R18" s="149"/>
      <c r="S18" s="149"/>
      <c r="T18" s="149"/>
      <c r="U18" s="149"/>
      <c r="V18" s="149"/>
      <c r="W18" s="149"/>
      <c r="X18" s="149"/>
      <c r="Y18" s="149"/>
      <c r="Z18" s="150"/>
      <c r="AA18" s="151"/>
      <c r="AB18" s="152"/>
      <c r="AC18" s="152"/>
      <c r="AD18" s="152"/>
      <c r="AE18" s="152"/>
      <c r="AF18" s="152"/>
      <c r="AG18" s="152"/>
      <c r="AH18" s="154" t="s">
        <v>732</v>
      </c>
      <c r="AI18" s="152"/>
      <c r="AJ18" s="153"/>
      <c r="AK18" s="165"/>
      <c r="AL18" s="166"/>
      <c r="AM18" s="166"/>
      <c r="AN18" s="166"/>
      <c r="AO18" s="166"/>
      <c r="AP18" s="166"/>
      <c r="AQ18" s="166"/>
      <c r="AR18" s="166"/>
      <c r="AS18" s="166"/>
      <c r="AT18" s="167"/>
    </row>
    <row r="19" spans="2:46" ht="18" customHeight="1">
      <c r="B19" s="476">
        <v>5</v>
      </c>
      <c r="C19" s="578" t="s">
        <v>682</v>
      </c>
      <c r="D19" s="579" t="s">
        <v>682</v>
      </c>
      <c r="E19" s="578" t="s">
        <v>733</v>
      </c>
      <c r="F19" s="584" t="s">
        <v>684</v>
      </c>
      <c r="G19" s="582">
        <v>2.7</v>
      </c>
      <c r="H19" s="582">
        <v>0.8</v>
      </c>
      <c r="I19" s="582">
        <f t="shared" ref="I19" si="3">G19/H19</f>
        <v>3.375</v>
      </c>
      <c r="J19" s="573" t="s">
        <v>734</v>
      </c>
      <c r="K19" s="809" t="s">
        <v>59</v>
      </c>
      <c r="L19" s="442"/>
      <c r="M19" s="592"/>
      <c r="N19" s="577"/>
      <c r="O19" s="136">
        <v>4</v>
      </c>
      <c r="P19" s="738"/>
      <c r="Q19" s="148"/>
      <c r="R19" s="149"/>
      <c r="S19" s="149"/>
      <c r="T19" s="149"/>
      <c r="U19" s="149"/>
      <c r="V19" s="149"/>
      <c r="W19" s="149"/>
      <c r="X19" s="149"/>
      <c r="Y19" s="149"/>
      <c r="Z19" s="150"/>
      <c r="AA19" s="151"/>
      <c r="AB19" s="152"/>
      <c r="AC19" s="152"/>
      <c r="AD19" s="152"/>
      <c r="AE19" s="152"/>
      <c r="AF19" s="154" t="s">
        <v>735</v>
      </c>
      <c r="AG19" s="152"/>
      <c r="AH19" s="152"/>
      <c r="AI19" s="152"/>
      <c r="AJ19" s="153"/>
      <c r="AK19" s="165"/>
      <c r="AL19" s="166"/>
      <c r="AM19" s="166"/>
      <c r="AN19" s="166"/>
      <c r="AO19" s="166"/>
      <c r="AP19" s="166"/>
      <c r="AQ19" s="166"/>
      <c r="AR19" s="166"/>
      <c r="AS19" s="166"/>
      <c r="AT19" s="167"/>
    </row>
    <row r="20" spans="2:46" ht="18" customHeight="1">
      <c r="B20" s="527"/>
      <c r="C20" s="580" t="s">
        <v>513</v>
      </c>
      <c r="D20" s="581" t="s">
        <v>513</v>
      </c>
      <c r="E20" s="585" t="s">
        <v>736</v>
      </c>
      <c r="F20" s="586" t="s">
        <v>736</v>
      </c>
      <c r="G20" s="583"/>
      <c r="H20" s="583"/>
      <c r="I20" s="583"/>
      <c r="J20" s="515"/>
      <c r="K20" s="810"/>
      <c r="L20" s="442"/>
      <c r="M20" s="592"/>
      <c r="N20" s="577"/>
      <c r="O20" s="136">
        <v>3</v>
      </c>
      <c r="P20" s="738"/>
      <c r="Q20" s="148"/>
      <c r="R20" s="149"/>
      <c r="S20" s="149"/>
      <c r="T20" s="149"/>
      <c r="U20" s="149"/>
      <c r="V20" s="149"/>
      <c r="W20" s="149"/>
      <c r="X20" s="149"/>
      <c r="Y20" s="149"/>
      <c r="Z20" s="150"/>
      <c r="AA20" s="151"/>
      <c r="AB20" s="152"/>
      <c r="AC20" s="152"/>
      <c r="AD20" s="152"/>
      <c r="AE20" s="152"/>
      <c r="AF20" s="152"/>
      <c r="AG20" s="152"/>
      <c r="AH20" s="152"/>
      <c r="AI20" s="152"/>
      <c r="AJ20" s="153"/>
      <c r="AK20" s="165"/>
      <c r="AL20" s="166"/>
      <c r="AM20" s="166"/>
      <c r="AN20" s="166"/>
      <c r="AO20" s="166"/>
      <c r="AP20" s="166"/>
      <c r="AQ20" s="166"/>
      <c r="AR20" s="166"/>
      <c r="AS20" s="166"/>
      <c r="AT20" s="167"/>
    </row>
    <row r="21" spans="2:46" ht="18" customHeight="1">
      <c r="B21" s="476">
        <v>6</v>
      </c>
      <c r="C21" s="578" t="s">
        <v>667</v>
      </c>
      <c r="D21" s="579" t="s">
        <v>668</v>
      </c>
      <c r="E21" s="578" t="s">
        <v>737</v>
      </c>
      <c r="F21" s="584" t="s">
        <v>668</v>
      </c>
      <c r="G21" s="582">
        <v>2.5</v>
      </c>
      <c r="H21" s="582">
        <v>1.7</v>
      </c>
      <c r="I21" s="582">
        <f t="shared" ref="I21" si="4">G21/H21</f>
        <v>1.4705882352941178</v>
      </c>
      <c r="J21" s="573" t="s">
        <v>738</v>
      </c>
      <c r="K21" s="805" t="s">
        <v>75</v>
      </c>
      <c r="L21" s="442"/>
      <c r="M21" s="592"/>
      <c r="N21" s="577"/>
      <c r="O21" s="136">
        <v>2</v>
      </c>
      <c r="P21" s="738"/>
      <c r="Q21" s="148"/>
      <c r="R21" s="149"/>
      <c r="S21" s="149"/>
      <c r="T21" s="149"/>
      <c r="U21" s="149"/>
      <c r="V21" s="149"/>
      <c r="W21" s="149"/>
      <c r="X21" s="149"/>
      <c r="Y21" s="149"/>
      <c r="Z21" s="150"/>
      <c r="AA21" s="151"/>
      <c r="AB21" s="154" t="s">
        <v>222</v>
      </c>
      <c r="AC21" s="152"/>
      <c r="AD21" s="152"/>
      <c r="AE21" s="152"/>
      <c r="AF21" s="152"/>
      <c r="AG21" s="152"/>
      <c r="AH21" s="152"/>
      <c r="AI21" s="152"/>
      <c r="AJ21" s="153"/>
      <c r="AK21" s="165"/>
      <c r="AL21" s="166"/>
      <c r="AM21" s="166"/>
      <c r="AN21" s="166"/>
      <c r="AO21" s="166"/>
      <c r="AP21" s="166"/>
      <c r="AQ21" s="166"/>
      <c r="AR21" s="166"/>
      <c r="AS21" s="166"/>
      <c r="AT21" s="167"/>
    </row>
    <row r="22" spans="2:46" ht="18" customHeight="1">
      <c r="B22" s="527"/>
      <c r="C22" s="580" t="s">
        <v>670</v>
      </c>
      <c r="D22" s="581" t="s">
        <v>671</v>
      </c>
      <c r="E22" s="585" t="s">
        <v>670</v>
      </c>
      <c r="F22" s="586" t="s">
        <v>671</v>
      </c>
      <c r="G22" s="583"/>
      <c r="H22" s="583"/>
      <c r="I22" s="583"/>
      <c r="J22" s="515"/>
      <c r="K22" s="806"/>
      <c r="L22" s="442"/>
      <c r="M22" s="592"/>
      <c r="N22" s="577"/>
      <c r="O22" s="136">
        <v>1</v>
      </c>
      <c r="P22" s="738"/>
      <c r="Q22" s="148"/>
      <c r="R22" s="149"/>
      <c r="S22" s="149"/>
      <c r="T22" s="149"/>
      <c r="U22" s="149"/>
      <c r="V22" s="149"/>
      <c r="W22" s="154" t="s">
        <v>739</v>
      </c>
      <c r="X22" s="149"/>
      <c r="Y22" s="149"/>
      <c r="Z22" s="150"/>
      <c r="AA22" s="151"/>
      <c r="AB22" s="152"/>
      <c r="AC22" s="152"/>
      <c r="AD22" s="152"/>
      <c r="AE22" s="152"/>
      <c r="AF22" s="152"/>
      <c r="AG22" s="152"/>
      <c r="AH22" s="152"/>
      <c r="AI22" s="152"/>
      <c r="AJ22" s="153"/>
      <c r="AK22" s="165"/>
      <c r="AL22" s="166"/>
      <c r="AM22" s="166"/>
      <c r="AN22" s="166"/>
      <c r="AO22" s="166"/>
      <c r="AP22" s="166"/>
      <c r="AQ22" s="166"/>
      <c r="AR22" s="166"/>
      <c r="AS22" s="166"/>
      <c r="AT22" s="167"/>
    </row>
    <row r="23" spans="2:46" ht="18" customHeight="1">
      <c r="B23" s="476">
        <v>7</v>
      </c>
      <c r="C23" s="578" t="s">
        <v>673</v>
      </c>
      <c r="D23" s="579" t="s">
        <v>674</v>
      </c>
      <c r="E23" s="578" t="s">
        <v>740</v>
      </c>
      <c r="F23" s="584" t="s">
        <v>674</v>
      </c>
      <c r="G23" s="582">
        <v>1.6</v>
      </c>
      <c r="H23" s="582">
        <v>1.2</v>
      </c>
      <c r="I23" s="582">
        <f t="shared" ref="I23" si="5">G23/H23</f>
        <v>1.3333333333333335</v>
      </c>
      <c r="J23" s="573" t="s">
        <v>741</v>
      </c>
      <c r="K23" s="807" t="s">
        <v>80</v>
      </c>
      <c r="L23" s="442"/>
      <c r="M23" s="592"/>
      <c r="N23" s="577"/>
      <c r="O23" s="136">
        <v>0</v>
      </c>
      <c r="P23" s="804"/>
      <c r="Q23" s="155"/>
      <c r="R23" s="156"/>
      <c r="S23" s="156"/>
      <c r="T23" s="156"/>
      <c r="U23" s="156"/>
      <c r="V23" s="156"/>
      <c r="W23" s="156"/>
      <c r="X23" s="156"/>
      <c r="Y23" s="156"/>
      <c r="Z23" s="157"/>
      <c r="AA23" s="158"/>
      <c r="AB23" s="159"/>
      <c r="AC23" s="159"/>
      <c r="AD23" s="159"/>
      <c r="AE23" s="159"/>
      <c r="AF23" s="159"/>
      <c r="AG23" s="159"/>
      <c r="AH23" s="159"/>
      <c r="AI23" s="159"/>
      <c r="AJ23" s="160"/>
      <c r="AK23" s="168"/>
      <c r="AL23" s="169"/>
      <c r="AM23" s="169"/>
      <c r="AN23" s="169"/>
      <c r="AO23" s="169"/>
      <c r="AP23" s="169"/>
      <c r="AQ23" s="169"/>
      <c r="AR23" s="169"/>
      <c r="AS23" s="169"/>
      <c r="AT23" s="170"/>
    </row>
    <row r="24" spans="2:46" ht="18" customHeight="1">
      <c r="B24" s="527"/>
      <c r="C24" s="580" t="s">
        <v>667</v>
      </c>
      <c r="D24" s="581" t="s">
        <v>668</v>
      </c>
      <c r="E24" s="585" t="s">
        <v>667</v>
      </c>
      <c r="F24" s="586" t="s">
        <v>668</v>
      </c>
      <c r="G24" s="583"/>
      <c r="H24" s="583"/>
      <c r="I24" s="583"/>
      <c r="J24" s="515"/>
      <c r="K24" s="808"/>
      <c r="L24" s="442"/>
      <c r="M24" s="592"/>
      <c r="N24" s="577">
        <v>1</v>
      </c>
      <c r="O24" s="136">
        <v>9</v>
      </c>
      <c r="P24" s="803" t="s">
        <v>103</v>
      </c>
      <c r="Q24" s="145"/>
      <c r="R24" s="146"/>
      <c r="S24" s="146"/>
      <c r="T24" s="146"/>
      <c r="U24" s="146"/>
      <c r="V24" s="146"/>
      <c r="W24" s="146"/>
      <c r="X24" s="146"/>
      <c r="Y24" s="146"/>
      <c r="Z24" s="147"/>
      <c r="AA24" s="162"/>
      <c r="AB24" s="163"/>
      <c r="AC24" s="163"/>
      <c r="AD24" s="163"/>
      <c r="AE24" s="166"/>
      <c r="AF24" s="163"/>
      <c r="AG24" s="163"/>
      <c r="AH24" s="166"/>
      <c r="AI24" s="163"/>
      <c r="AJ24" s="166"/>
      <c r="AK24" s="162"/>
      <c r="AL24" s="163"/>
      <c r="AM24" s="163"/>
      <c r="AN24" s="163"/>
      <c r="AO24" s="163"/>
      <c r="AP24" s="163"/>
      <c r="AQ24" s="163"/>
      <c r="AR24" s="163"/>
      <c r="AS24" s="163"/>
      <c r="AT24" s="164"/>
    </row>
    <row r="25" spans="2:46" ht="18" customHeight="1">
      <c r="B25" s="476">
        <v>8</v>
      </c>
      <c r="C25" s="578" t="s">
        <v>670</v>
      </c>
      <c r="D25" s="579" t="s">
        <v>671</v>
      </c>
      <c r="E25" s="578" t="s">
        <v>672</v>
      </c>
      <c r="F25" s="584" t="s">
        <v>672</v>
      </c>
      <c r="G25" s="582">
        <v>1.8</v>
      </c>
      <c r="H25" s="582">
        <v>2.2999999999999998</v>
      </c>
      <c r="I25" s="582">
        <f t="shared" ref="I25" si="6">G25/H25</f>
        <v>0.78260869565217395</v>
      </c>
      <c r="J25" s="573" t="s">
        <v>742</v>
      </c>
      <c r="K25" s="807" t="s">
        <v>80</v>
      </c>
      <c r="L25" s="442"/>
      <c r="M25" s="592"/>
      <c r="N25" s="577"/>
      <c r="O25" s="136">
        <v>8</v>
      </c>
      <c r="P25" s="738"/>
      <c r="Q25" s="151"/>
      <c r="R25" s="152"/>
      <c r="S25" s="152"/>
      <c r="T25" s="152"/>
      <c r="U25" s="152"/>
      <c r="V25" s="152"/>
      <c r="W25" s="152"/>
      <c r="X25" s="152"/>
      <c r="Y25" s="152"/>
      <c r="Z25" s="153"/>
      <c r="AA25" s="165"/>
      <c r="AB25" s="166"/>
      <c r="AC25" s="166"/>
      <c r="AD25" s="154" t="s">
        <v>743</v>
      </c>
      <c r="AE25" s="166"/>
      <c r="AF25" s="166"/>
      <c r="AG25" s="171"/>
      <c r="AH25" s="166"/>
      <c r="AI25" s="171"/>
      <c r="AJ25" s="167"/>
      <c r="AK25" s="165"/>
      <c r="AL25" s="166"/>
      <c r="AM25" s="166"/>
      <c r="AN25" s="166"/>
      <c r="AO25" s="166"/>
      <c r="AP25" s="166"/>
      <c r="AQ25" s="166"/>
      <c r="AR25" s="166"/>
      <c r="AS25" s="166"/>
      <c r="AT25" s="167"/>
    </row>
    <row r="26" spans="2:46" ht="18" customHeight="1">
      <c r="B26" s="527"/>
      <c r="C26" s="580" t="s">
        <v>673</v>
      </c>
      <c r="D26" s="581" t="s">
        <v>674</v>
      </c>
      <c r="E26" s="585" t="s">
        <v>675</v>
      </c>
      <c r="F26" s="586" t="s">
        <v>675</v>
      </c>
      <c r="G26" s="583"/>
      <c r="H26" s="583"/>
      <c r="I26" s="583"/>
      <c r="J26" s="515"/>
      <c r="K26" s="808"/>
      <c r="L26" s="442"/>
      <c r="M26" s="592"/>
      <c r="N26" s="577"/>
      <c r="O26" s="136">
        <v>7</v>
      </c>
      <c r="P26" s="738"/>
      <c r="Q26" s="151"/>
      <c r="R26" s="152"/>
      <c r="S26" s="152"/>
      <c r="T26" s="152"/>
      <c r="U26" s="152"/>
      <c r="V26" s="152"/>
      <c r="W26" s="152"/>
      <c r="X26" s="152"/>
      <c r="Y26" s="152"/>
      <c r="Z26" s="153"/>
      <c r="AA26" s="165"/>
      <c r="AB26" s="166"/>
      <c r="AC26" s="166"/>
      <c r="AD26" s="166"/>
      <c r="AE26" s="166"/>
      <c r="AF26" s="166"/>
      <c r="AG26" s="166"/>
      <c r="AH26" s="166"/>
      <c r="AI26" s="166"/>
      <c r="AJ26" s="167"/>
      <c r="AK26" s="165"/>
      <c r="AL26" s="166"/>
      <c r="AM26" s="166"/>
      <c r="AN26" s="166"/>
      <c r="AO26" s="166"/>
      <c r="AP26" s="166"/>
      <c r="AQ26" s="166"/>
      <c r="AR26" s="166"/>
      <c r="AS26" s="166"/>
      <c r="AT26" s="167"/>
    </row>
    <row r="27" spans="2:46" ht="18" customHeight="1">
      <c r="B27" s="476">
        <v>9</v>
      </c>
      <c r="C27" s="578" t="s">
        <v>679</v>
      </c>
      <c r="D27" s="579" t="s">
        <v>680</v>
      </c>
      <c r="E27" s="578" t="s">
        <v>744</v>
      </c>
      <c r="F27" s="584" t="s">
        <v>680</v>
      </c>
      <c r="G27" s="582">
        <v>1.5</v>
      </c>
      <c r="H27" s="582">
        <v>1.4</v>
      </c>
      <c r="I27" s="582">
        <f t="shared" ref="I27" si="7">G27/H27</f>
        <v>1.0714285714285714</v>
      </c>
      <c r="J27" s="573" t="s">
        <v>745</v>
      </c>
      <c r="K27" s="807" t="s">
        <v>80</v>
      </c>
      <c r="L27" s="442"/>
      <c r="M27" s="592"/>
      <c r="N27" s="577"/>
      <c r="O27" s="136">
        <v>6</v>
      </c>
      <c r="P27" s="738"/>
      <c r="Q27" s="151"/>
      <c r="R27" s="152"/>
      <c r="S27" s="152"/>
      <c r="T27" s="152"/>
      <c r="U27" s="152"/>
      <c r="V27" s="152"/>
      <c r="W27" s="152"/>
      <c r="X27" s="152"/>
      <c r="Y27" s="152"/>
      <c r="Z27" s="153"/>
      <c r="AA27" s="165"/>
      <c r="AB27" s="166"/>
      <c r="AC27" s="154" t="s">
        <v>746</v>
      </c>
      <c r="AD27" s="166"/>
      <c r="AE27" s="171"/>
      <c r="AF27" s="166"/>
      <c r="AG27" s="166"/>
      <c r="AH27" s="166"/>
      <c r="AI27" s="166"/>
      <c r="AJ27" s="167"/>
      <c r="AK27" s="165"/>
      <c r="AL27" s="166"/>
      <c r="AM27" s="166"/>
      <c r="AN27" s="166"/>
      <c r="AO27" s="166"/>
      <c r="AP27" s="166"/>
      <c r="AQ27" s="166"/>
      <c r="AR27" s="166"/>
      <c r="AS27" s="166"/>
      <c r="AT27" s="167"/>
    </row>
    <row r="28" spans="2:46" ht="18" customHeight="1">
      <c r="B28" s="527"/>
      <c r="C28" s="580" t="s">
        <v>731</v>
      </c>
      <c r="D28" s="581" t="s">
        <v>680</v>
      </c>
      <c r="E28" s="585" t="s">
        <v>731</v>
      </c>
      <c r="F28" s="586" t="s">
        <v>680</v>
      </c>
      <c r="G28" s="583"/>
      <c r="H28" s="583"/>
      <c r="I28" s="583"/>
      <c r="J28" s="515"/>
      <c r="K28" s="808"/>
      <c r="L28" s="442"/>
      <c r="M28" s="592"/>
      <c r="N28" s="577"/>
      <c r="O28" s="136">
        <v>5</v>
      </c>
      <c r="P28" s="738"/>
      <c r="Q28" s="151"/>
      <c r="R28" s="152"/>
      <c r="S28" s="152"/>
      <c r="T28" s="152"/>
      <c r="U28" s="152"/>
      <c r="V28" s="152"/>
      <c r="W28" s="152"/>
      <c r="X28" s="152"/>
      <c r="Y28" s="152"/>
      <c r="Z28" s="153"/>
      <c r="AA28" s="165"/>
      <c r="AB28" s="166"/>
      <c r="AC28" s="166"/>
      <c r="AD28" s="166"/>
      <c r="AE28" s="154" t="s">
        <v>747</v>
      </c>
      <c r="AF28" s="166"/>
      <c r="AG28" s="166"/>
      <c r="AH28" s="166"/>
      <c r="AI28" s="166"/>
      <c r="AJ28" s="167"/>
      <c r="AK28" s="165"/>
      <c r="AL28" s="166"/>
      <c r="AM28" s="166"/>
      <c r="AN28" s="166"/>
      <c r="AO28" s="166"/>
      <c r="AP28" s="166"/>
      <c r="AQ28" s="166"/>
      <c r="AR28" s="166"/>
      <c r="AS28" s="166"/>
      <c r="AT28" s="167"/>
    </row>
    <row r="29" spans="2:46" ht="18" customHeight="1">
      <c r="B29" s="476">
        <v>10</v>
      </c>
      <c r="C29" s="578" t="s">
        <v>513</v>
      </c>
      <c r="D29" s="579" t="s">
        <v>685</v>
      </c>
      <c r="E29" s="578" t="s">
        <v>748</v>
      </c>
      <c r="F29" s="579" t="s">
        <v>686</v>
      </c>
      <c r="G29" s="582">
        <v>2.1</v>
      </c>
      <c r="H29" s="582">
        <v>1.6</v>
      </c>
      <c r="I29" s="582">
        <f t="shared" ref="I29" si="8">G29/H29</f>
        <v>1.3125</v>
      </c>
      <c r="J29" s="573" t="s">
        <v>722</v>
      </c>
      <c r="K29" s="809" t="s">
        <v>59</v>
      </c>
      <c r="L29" s="442"/>
      <c r="M29" s="592"/>
      <c r="N29" s="577"/>
      <c r="O29" s="136">
        <v>4</v>
      </c>
      <c r="P29" s="738"/>
      <c r="Q29" s="151"/>
      <c r="R29" s="152"/>
      <c r="S29" s="152"/>
      <c r="T29" s="152"/>
      <c r="U29" s="152"/>
      <c r="V29" s="152"/>
      <c r="W29" s="152"/>
      <c r="X29" s="152"/>
      <c r="Y29" s="152"/>
      <c r="Z29" s="153"/>
      <c r="AA29" s="165"/>
      <c r="AB29" s="166"/>
      <c r="AC29" s="166"/>
      <c r="AD29" s="166"/>
      <c r="AE29" s="166"/>
      <c r="AF29" s="166"/>
      <c r="AG29" s="166"/>
      <c r="AH29" s="166"/>
      <c r="AI29" s="166"/>
      <c r="AJ29" s="167"/>
      <c r="AK29" s="165"/>
      <c r="AL29" s="166"/>
      <c r="AM29" s="166"/>
      <c r="AN29" s="166"/>
      <c r="AO29" s="166"/>
      <c r="AP29" s="166"/>
      <c r="AQ29" s="166"/>
      <c r="AR29" s="166"/>
      <c r="AS29" s="166"/>
      <c r="AT29" s="167"/>
    </row>
    <row r="30" spans="2:46" ht="18" customHeight="1">
      <c r="B30" s="527"/>
      <c r="C30" s="580" t="s">
        <v>513</v>
      </c>
      <c r="D30" s="581" t="s">
        <v>685</v>
      </c>
      <c r="E30" s="580" t="s">
        <v>686</v>
      </c>
      <c r="F30" s="581" t="s">
        <v>686</v>
      </c>
      <c r="G30" s="583"/>
      <c r="H30" s="583"/>
      <c r="I30" s="583"/>
      <c r="J30" s="515"/>
      <c r="K30" s="810"/>
      <c r="L30" s="442"/>
      <c r="M30" s="592"/>
      <c r="N30" s="577"/>
      <c r="O30" s="136">
        <v>3</v>
      </c>
      <c r="P30" s="738"/>
      <c r="Q30" s="151"/>
      <c r="R30" s="152"/>
      <c r="S30" s="152"/>
      <c r="T30" s="152"/>
      <c r="U30" s="152"/>
      <c r="V30" s="152"/>
      <c r="W30" s="152"/>
      <c r="X30" s="152"/>
      <c r="Y30" s="152"/>
      <c r="Z30" s="153"/>
      <c r="AA30" s="165"/>
      <c r="AB30" s="166"/>
      <c r="AC30" s="166"/>
      <c r="AD30" s="166"/>
      <c r="AE30" s="166"/>
      <c r="AF30" s="166"/>
      <c r="AG30" s="166"/>
      <c r="AH30" s="166"/>
      <c r="AI30" s="166"/>
      <c r="AJ30" s="167"/>
      <c r="AK30" s="165"/>
      <c r="AL30" s="166"/>
      <c r="AM30" s="166"/>
      <c r="AN30" s="166"/>
      <c r="AO30" s="166"/>
      <c r="AP30" s="166"/>
      <c r="AQ30" s="166"/>
      <c r="AR30" s="166"/>
      <c r="AS30" s="166"/>
      <c r="AT30" s="167"/>
    </row>
    <row r="31" spans="2:46" ht="18" customHeight="1">
      <c r="L31" s="442"/>
      <c r="M31" s="592"/>
      <c r="N31" s="577"/>
      <c r="O31" s="136">
        <v>2</v>
      </c>
      <c r="P31" s="738"/>
      <c r="Q31" s="151"/>
      <c r="R31" s="152"/>
      <c r="S31" s="152"/>
      <c r="T31" s="152"/>
      <c r="U31" s="152"/>
      <c r="V31" s="152"/>
      <c r="W31" s="152"/>
      <c r="X31" s="152"/>
      <c r="Y31" s="152"/>
      <c r="Z31" s="153"/>
      <c r="AA31" s="165"/>
      <c r="AB31" s="166"/>
      <c r="AC31" s="166"/>
      <c r="AD31" s="166"/>
      <c r="AE31" s="166"/>
      <c r="AF31" s="166"/>
      <c r="AG31" s="166"/>
      <c r="AH31" s="166"/>
      <c r="AI31" s="166"/>
      <c r="AJ31" s="167"/>
      <c r="AK31" s="165"/>
      <c r="AL31" s="166"/>
      <c r="AM31" s="166"/>
      <c r="AN31" s="166"/>
      <c r="AO31" s="166"/>
      <c r="AP31" s="166"/>
      <c r="AQ31" s="166"/>
      <c r="AR31" s="166"/>
      <c r="AS31" s="166"/>
      <c r="AT31" s="167"/>
    </row>
    <row r="32" spans="2:46" ht="18" customHeight="1">
      <c r="C32" s="1" t="s">
        <v>202</v>
      </c>
      <c r="D32" s="138" t="s">
        <v>203</v>
      </c>
      <c r="E32" s="1" t="s">
        <v>204</v>
      </c>
      <c r="F32" s="282" t="s">
        <v>5</v>
      </c>
      <c r="G32" s="1" t="s">
        <v>189</v>
      </c>
      <c r="L32" s="442"/>
      <c r="M32" s="592"/>
      <c r="N32" s="577"/>
      <c r="O32" s="136">
        <v>1</v>
      </c>
      <c r="P32" s="738"/>
      <c r="Q32" s="151"/>
      <c r="R32" s="152"/>
      <c r="S32" s="152"/>
      <c r="T32" s="152"/>
      <c r="U32" s="152"/>
      <c r="V32" s="152"/>
      <c r="W32" s="152"/>
      <c r="X32" s="152"/>
      <c r="Y32" s="152"/>
      <c r="Z32" s="153"/>
      <c r="AA32" s="165"/>
      <c r="AB32" s="166"/>
      <c r="AC32" s="166"/>
      <c r="AD32" s="166"/>
      <c r="AE32" s="166"/>
      <c r="AF32" s="166"/>
      <c r="AG32" s="166"/>
      <c r="AH32" s="166"/>
      <c r="AI32" s="166"/>
      <c r="AJ32" s="167"/>
      <c r="AK32" s="165"/>
      <c r="AL32" s="166"/>
      <c r="AM32" s="166"/>
      <c r="AN32" s="166"/>
      <c r="AO32" s="166"/>
      <c r="AP32" s="166"/>
      <c r="AQ32" s="166"/>
      <c r="AR32" s="166"/>
      <c r="AS32" s="166"/>
      <c r="AT32" s="167"/>
    </row>
    <row r="33" spans="4:46" ht="18" customHeight="1">
      <c r="D33" s="139" t="s">
        <v>205</v>
      </c>
      <c r="E33" s="1" t="s">
        <v>206</v>
      </c>
      <c r="L33" s="442"/>
      <c r="M33" s="592"/>
      <c r="N33" s="577"/>
      <c r="O33" s="136">
        <v>0</v>
      </c>
      <c r="P33" s="804"/>
      <c r="Q33" s="158"/>
      <c r="R33" s="159"/>
      <c r="S33" s="159"/>
      <c r="T33" s="159"/>
      <c r="U33" s="159"/>
      <c r="V33" s="159"/>
      <c r="W33" s="159"/>
      <c r="X33" s="159"/>
      <c r="Y33" s="159"/>
      <c r="Z33" s="160"/>
      <c r="AA33" s="168"/>
      <c r="AB33" s="169"/>
      <c r="AC33" s="169"/>
      <c r="AD33" s="169"/>
      <c r="AE33" s="169"/>
      <c r="AF33" s="169"/>
      <c r="AG33" s="169"/>
      <c r="AH33" s="169"/>
      <c r="AI33" s="169"/>
      <c r="AJ33" s="170"/>
      <c r="AK33" s="168"/>
      <c r="AL33" s="169"/>
      <c r="AM33" s="169"/>
      <c r="AN33" s="169"/>
      <c r="AO33" s="169"/>
      <c r="AP33" s="169"/>
      <c r="AQ33" s="169"/>
      <c r="AR33" s="169"/>
      <c r="AS33" s="169"/>
      <c r="AT33" s="170"/>
    </row>
    <row r="34" spans="4:46" ht="18" customHeight="1">
      <c r="D34" s="140" t="s">
        <v>207</v>
      </c>
      <c r="E34" s="1" t="s">
        <v>208</v>
      </c>
      <c r="L34" s="442"/>
      <c r="M34" s="442"/>
      <c r="Q34" s="574" t="s">
        <v>103</v>
      </c>
      <c r="R34" s="575"/>
      <c r="S34" s="575"/>
      <c r="T34" s="575"/>
      <c r="U34" s="575"/>
      <c r="V34" s="575"/>
      <c r="W34" s="575"/>
      <c r="X34" s="575"/>
      <c r="Y34" s="575"/>
      <c r="Z34" s="576"/>
      <c r="AA34" s="574" t="s">
        <v>104</v>
      </c>
      <c r="AB34" s="575"/>
      <c r="AC34" s="575"/>
      <c r="AD34" s="575"/>
      <c r="AE34" s="575"/>
      <c r="AF34" s="575"/>
      <c r="AG34" s="575"/>
      <c r="AH34" s="575"/>
      <c r="AI34" s="575"/>
      <c r="AJ34" s="576"/>
      <c r="AK34" s="574" t="s">
        <v>105</v>
      </c>
      <c r="AL34" s="575"/>
      <c r="AM34" s="575"/>
      <c r="AN34" s="575"/>
      <c r="AO34" s="575"/>
      <c r="AP34" s="575"/>
      <c r="AQ34" s="575"/>
      <c r="AR34" s="575"/>
      <c r="AS34" s="575"/>
      <c r="AT34" s="576"/>
    </row>
    <row r="35" spans="4:46" ht="15.95" customHeight="1">
      <c r="L35" s="442"/>
      <c r="M35" s="442"/>
      <c r="Q35" s="136">
        <v>0</v>
      </c>
      <c r="R35" s="136">
        <v>1</v>
      </c>
      <c r="S35" s="136">
        <v>2</v>
      </c>
      <c r="T35" s="136">
        <v>3</v>
      </c>
      <c r="U35" s="136">
        <v>4</v>
      </c>
      <c r="V35" s="136">
        <v>5</v>
      </c>
      <c r="W35" s="136">
        <v>6</v>
      </c>
      <c r="X35" s="136">
        <v>7</v>
      </c>
      <c r="Y35" s="136">
        <v>8</v>
      </c>
      <c r="Z35" s="136">
        <v>9</v>
      </c>
      <c r="AA35" s="136">
        <v>0</v>
      </c>
      <c r="AB35" s="136">
        <v>1</v>
      </c>
      <c r="AC35" s="136">
        <v>2</v>
      </c>
      <c r="AD35" s="136">
        <v>3</v>
      </c>
      <c r="AE35" s="136">
        <v>4</v>
      </c>
      <c r="AF35" s="136">
        <v>5</v>
      </c>
      <c r="AG35" s="136">
        <v>6</v>
      </c>
      <c r="AH35" s="136">
        <v>7</v>
      </c>
      <c r="AI35" s="136">
        <v>8</v>
      </c>
      <c r="AJ35" s="136">
        <v>9</v>
      </c>
      <c r="AK35" s="136">
        <v>0</v>
      </c>
      <c r="AL35" s="136">
        <v>1</v>
      </c>
      <c r="AM35" s="136">
        <v>2</v>
      </c>
      <c r="AN35" s="136">
        <v>3</v>
      </c>
      <c r="AO35" s="136">
        <v>4</v>
      </c>
      <c r="AP35" s="136">
        <v>5</v>
      </c>
      <c r="AQ35" s="136">
        <v>6</v>
      </c>
      <c r="AR35" s="136">
        <v>7</v>
      </c>
      <c r="AS35" s="136">
        <v>8</v>
      </c>
      <c r="AT35" s="136">
        <v>9</v>
      </c>
    </row>
    <row r="36" spans="4:46" ht="15.95" customHeight="1">
      <c r="L36" s="442"/>
      <c r="M36" s="442"/>
      <c r="Q36" s="577">
        <v>1</v>
      </c>
      <c r="R36" s="577"/>
      <c r="S36" s="577"/>
      <c r="T36" s="577"/>
      <c r="U36" s="577"/>
      <c r="V36" s="577"/>
      <c r="W36" s="577"/>
      <c r="X36" s="577"/>
      <c r="Y36" s="577"/>
      <c r="Z36" s="577"/>
      <c r="AA36" s="577">
        <v>2</v>
      </c>
      <c r="AB36" s="577"/>
      <c r="AC36" s="577"/>
      <c r="AD36" s="577"/>
      <c r="AE36" s="577"/>
      <c r="AF36" s="577"/>
      <c r="AG36" s="577"/>
      <c r="AH36" s="577"/>
      <c r="AI36" s="577"/>
      <c r="AJ36" s="577"/>
      <c r="AK36" s="577">
        <v>3</v>
      </c>
      <c r="AL36" s="577"/>
      <c r="AM36" s="577"/>
      <c r="AN36" s="577"/>
      <c r="AO36" s="577"/>
      <c r="AP36" s="577"/>
      <c r="AQ36" s="577"/>
      <c r="AR36" s="577"/>
      <c r="AS36" s="577"/>
      <c r="AT36" s="577"/>
    </row>
    <row r="37" spans="4:46" ht="15.95" customHeight="1">
      <c r="L37" s="442"/>
      <c r="M37" s="442"/>
      <c r="P37" s="572" t="s">
        <v>209</v>
      </c>
      <c r="Q37" s="572"/>
      <c r="R37" s="572"/>
      <c r="S37" s="572"/>
      <c r="T37" s="572"/>
      <c r="U37" s="572"/>
      <c r="V37" s="572"/>
      <c r="W37" s="572"/>
      <c r="X37" s="572"/>
      <c r="Y37" s="572"/>
      <c r="Z37" s="572"/>
      <c r="AA37" s="572"/>
      <c r="AB37" s="572"/>
      <c r="AC37" s="572"/>
      <c r="AD37" s="572"/>
      <c r="AE37" s="572"/>
      <c r="AF37" s="572"/>
      <c r="AG37" s="572"/>
      <c r="AH37" s="572"/>
      <c r="AI37" s="572"/>
      <c r="AJ37" s="572"/>
      <c r="AK37" s="572"/>
      <c r="AL37" s="572"/>
      <c r="AM37" s="572"/>
      <c r="AN37" s="572"/>
      <c r="AO37" s="572"/>
      <c r="AP37" s="572"/>
      <c r="AQ37" s="572"/>
      <c r="AR37" s="572"/>
      <c r="AS37" s="572"/>
      <c r="AT37" s="572"/>
    </row>
  </sheetData>
  <mergeCells count="107">
    <mergeCell ref="B27:B28"/>
    <mergeCell ref="C27:D28"/>
    <mergeCell ref="E27:F28"/>
    <mergeCell ref="G27:G28"/>
    <mergeCell ref="H27:H28"/>
    <mergeCell ref="K27:K28"/>
    <mergeCell ref="I27:I28"/>
    <mergeCell ref="I29:I30"/>
    <mergeCell ref="J27:J28"/>
    <mergeCell ref="J29:J30"/>
    <mergeCell ref="B29:B30"/>
    <mergeCell ref="C29:D30"/>
    <mergeCell ref="E29:F30"/>
    <mergeCell ref="G29:G30"/>
    <mergeCell ref="H29:H30"/>
    <mergeCell ref="B23:B24"/>
    <mergeCell ref="C23:D24"/>
    <mergeCell ref="E23:F24"/>
    <mergeCell ref="G23:G24"/>
    <mergeCell ref="H23:H24"/>
    <mergeCell ref="K23:K24"/>
    <mergeCell ref="I23:I24"/>
    <mergeCell ref="I25:I26"/>
    <mergeCell ref="J23:J24"/>
    <mergeCell ref="J25:J26"/>
    <mergeCell ref="B25:B26"/>
    <mergeCell ref="C25:D26"/>
    <mergeCell ref="E25:F26"/>
    <mergeCell ref="G25:G26"/>
    <mergeCell ref="H25:H26"/>
    <mergeCell ref="B19:B20"/>
    <mergeCell ref="C19:D20"/>
    <mergeCell ref="E19:F20"/>
    <mergeCell ref="G19:G20"/>
    <mergeCell ref="H19:H20"/>
    <mergeCell ref="K19:K20"/>
    <mergeCell ref="I21:I22"/>
    <mergeCell ref="J19:J20"/>
    <mergeCell ref="J21:J22"/>
    <mergeCell ref="B21:B22"/>
    <mergeCell ref="C21:D22"/>
    <mergeCell ref="E21:F22"/>
    <mergeCell ref="G21:G22"/>
    <mergeCell ref="H21:H22"/>
    <mergeCell ref="AK34:AT34"/>
    <mergeCell ref="Q36:Z36"/>
    <mergeCell ref="AA36:AJ36"/>
    <mergeCell ref="AK36:AT36"/>
    <mergeCell ref="P37:AT37"/>
    <mergeCell ref="B11:B12"/>
    <mergeCell ref="C11:D12"/>
    <mergeCell ref="E11:F12"/>
    <mergeCell ref="B13:B14"/>
    <mergeCell ref="C13:D14"/>
    <mergeCell ref="E13:F14"/>
    <mergeCell ref="K17:K18"/>
    <mergeCell ref="G13:G14"/>
    <mergeCell ref="H13:H14"/>
    <mergeCell ref="K13:K14"/>
    <mergeCell ref="B15:B16"/>
    <mergeCell ref="C15:D16"/>
    <mergeCell ref="E15:F16"/>
    <mergeCell ref="G15:G16"/>
    <mergeCell ref="H15:H16"/>
    <mergeCell ref="K15:K16"/>
    <mergeCell ref="B17:B18"/>
    <mergeCell ref="C17:D18"/>
    <mergeCell ref="E17:F18"/>
    <mergeCell ref="G11:G12"/>
    <mergeCell ref="H11:H12"/>
    <mergeCell ref="K11:K12"/>
    <mergeCell ref="J8:J9"/>
    <mergeCell ref="N24:N33"/>
    <mergeCell ref="P24:P33"/>
    <mergeCell ref="Q34:Z34"/>
    <mergeCell ref="AA34:AJ34"/>
    <mergeCell ref="N14:N23"/>
    <mergeCell ref="P14:P23"/>
    <mergeCell ref="K25:K26"/>
    <mergeCell ref="K29:K30"/>
    <mergeCell ref="G17:G18"/>
    <mergeCell ref="H17:H18"/>
    <mergeCell ref="K21:K22"/>
    <mergeCell ref="B6:C6"/>
    <mergeCell ref="H6:I6"/>
    <mergeCell ref="J11:J12"/>
    <mergeCell ref="J13:J14"/>
    <mergeCell ref="J15:J16"/>
    <mergeCell ref="J17:J18"/>
    <mergeCell ref="P2:AT2"/>
    <mergeCell ref="B4:K4"/>
    <mergeCell ref="M4:M33"/>
    <mergeCell ref="N4:N13"/>
    <mergeCell ref="P4:P13"/>
    <mergeCell ref="D6:E6"/>
    <mergeCell ref="B8:B10"/>
    <mergeCell ref="C8:D10"/>
    <mergeCell ref="E8:F10"/>
    <mergeCell ref="G8:G9"/>
    <mergeCell ref="I8:I9"/>
    <mergeCell ref="I11:I12"/>
    <mergeCell ref="I13:I14"/>
    <mergeCell ref="I15:I16"/>
    <mergeCell ref="I17:I18"/>
    <mergeCell ref="I19:I20"/>
    <mergeCell ref="H8:H9"/>
    <mergeCell ref="K8:K9"/>
  </mergeCells>
  <pageMargins left="0.7" right="0.7" top="0.78740157499999996" bottom="0.78740157499999996"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B7E6-CB09-40C7-9104-430C3FEFF85C}">
  <dimension ref="A1:M41"/>
  <sheetViews>
    <sheetView showGridLines="0" showRowColHeaders="0" zoomScale="70" zoomScaleNormal="70" workbookViewId="0"/>
  </sheetViews>
  <sheetFormatPr defaultColWidth="10.85546875" defaultRowHeight="15"/>
  <cols>
    <col min="1" max="1" width="1" style="1" customWidth="1"/>
    <col min="2" max="2" width="4.5703125" style="1" customWidth="1"/>
    <col min="3" max="3" width="20" style="1" customWidth="1"/>
    <col min="4" max="4" width="52.140625" style="1" customWidth="1"/>
    <col min="5" max="13" width="12.5703125" style="1" customWidth="1"/>
    <col min="14" max="16384" width="10.85546875" style="254"/>
  </cols>
  <sheetData>
    <row r="1" spans="1:13" ht="6.6" customHeight="1"/>
    <row r="2" spans="1:13" ht="18">
      <c r="B2" s="421" t="s">
        <v>749</v>
      </c>
      <c r="F2" s="3"/>
      <c r="G2" s="3"/>
      <c r="H2" s="3"/>
      <c r="I2" s="3"/>
      <c r="J2" s="3"/>
      <c r="K2" s="3"/>
      <c r="L2" s="3"/>
      <c r="M2" s="3"/>
    </row>
    <row r="3" spans="1:13" ht="6.6" customHeight="1">
      <c r="A3" s="422"/>
      <c r="B3" s="422"/>
      <c r="C3" s="422"/>
      <c r="D3" s="422"/>
      <c r="E3" s="422"/>
      <c r="F3" s="422"/>
      <c r="G3" s="422"/>
      <c r="H3" s="422"/>
      <c r="I3" s="422"/>
      <c r="J3" s="422"/>
      <c r="K3" s="422"/>
      <c r="L3" s="422"/>
      <c r="M3" s="422"/>
    </row>
    <row r="4" spans="1:13" ht="20.45" customHeight="1">
      <c r="A4" s="422"/>
      <c r="B4" s="516" t="s">
        <v>212</v>
      </c>
      <c r="C4" s="517"/>
      <c r="D4" s="517"/>
      <c r="E4" s="517"/>
      <c r="F4" s="517"/>
      <c r="G4" s="517"/>
      <c r="H4" s="517"/>
      <c r="I4" s="517"/>
      <c r="J4" s="517"/>
      <c r="K4" s="517"/>
      <c r="L4" s="517"/>
      <c r="M4" s="517"/>
    </row>
    <row r="5" spans="1:13" ht="8.1" customHeight="1">
      <c r="B5" s="12"/>
      <c r="C5" s="13"/>
      <c r="D5" s="13"/>
      <c r="E5" s="13"/>
      <c r="F5" s="13"/>
      <c r="G5" s="13"/>
      <c r="H5" s="13"/>
      <c r="I5" s="13"/>
      <c r="J5" s="13"/>
      <c r="K5" s="13"/>
      <c r="L5" s="13"/>
      <c r="M5" s="13"/>
    </row>
    <row r="6" spans="1:13" ht="18.95" customHeight="1">
      <c r="B6" s="16"/>
      <c r="C6" s="23" t="s">
        <v>45</v>
      </c>
      <c r="D6" s="417"/>
      <c r="E6" s="47" t="s">
        <v>57</v>
      </c>
      <c r="F6" s="420"/>
      <c r="G6" s="47" t="s">
        <v>213</v>
      </c>
      <c r="H6" s="420"/>
      <c r="I6" s="47" t="s">
        <v>214</v>
      </c>
      <c r="J6" s="420"/>
      <c r="K6" s="47" t="s">
        <v>215</v>
      </c>
      <c r="L6" s="420"/>
      <c r="M6" s="122"/>
    </row>
    <row r="7" spans="1:13" ht="6" customHeight="1">
      <c r="B7" s="19"/>
      <c r="C7" s="20"/>
      <c r="D7" s="20"/>
      <c r="E7" s="20"/>
      <c r="F7" s="20"/>
      <c r="G7" s="20"/>
      <c r="H7" s="20"/>
      <c r="I7" s="20"/>
      <c r="J7" s="20"/>
      <c r="K7" s="20"/>
      <c r="L7" s="20"/>
      <c r="M7" s="20"/>
    </row>
    <row r="8" spans="1:13" ht="20.100000000000001" customHeight="1">
      <c r="B8" s="255" t="s">
        <v>216</v>
      </c>
      <c r="C8" s="10" t="s">
        <v>217</v>
      </c>
      <c r="D8" s="10" t="s">
        <v>218</v>
      </c>
      <c r="E8" s="609" t="s">
        <v>219</v>
      </c>
      <c r="F8" s="610"/>
      <c r="G8" s="610"/>
      <c r="H8" s="610"/>
      <c r="I8" s="610"/>
      <c r="J8" s="610"/>
      <c r="K8" s="610"/>
      <c r="L8" s="610"/>
      <c r="M8" s="611"/>
    </row>
    <row r="9" spans="1:13" ht="30" customHeight="1">
      <c r="B9" s="608" t="s">
        <v>220</v>
      </c>
      <c r="C9" s="529"/>
      <c r="D9" s="259" t="s">
        <v>221</v>
      </c>
      <c r="E9" s="605"/>
      <c r="F9" s="606"/>
      <c r="G9" s="606"/>
      <c r="H9" s="606"/>
      <c r="I9" s="606"/>
      <c r="J9" s="606"/>
      <c r="K9" s="606"/>
      <c r="L9" s="606"/>
      <c r="M9" s="529"/>
    </row>
    <row r="10" spans="1:13" ht="30" customHeight="1">
      <c r="B10" s="256" t="s">
        <v>222</v>
      </c>
      <c r="C10" s="257" t="s">
        <v>223</v>
      </c>
      <c r="D10" s="607" t="s">
        <v>224</v>
      </c>
      <c r="E10" s="606"/>
      <c r="F10" s="606"/>
      <c r="G10" s="606"/>
      <c r="H10" s="606"/>
      <c r="I10" s="606"/>
      <c r="J10" s="606"/>
      <c r="K10" s="606"/>
      <c r="L10" s="606"/>
      <c r="M10" s="529"/>
    </row>
    <row r="11" spans="1:13" ht="30" customHeight="1">
      <c r="B11" s="264" t="s">
        <v>108</v>
      </c>
      <c r="C11" s="262" t="s">
        <v>225</v>
      </c>
      <c r="D11" s="260" t="s">
        <v>226</v>
      </c>
      <c r="E11" s="605"/>
      <c r="F11" s="606"/>
      <c r="G11" s="606"/>
      <c r="H11" s="606"/>
      <c r="I11" s="606"/>
      <c r="J11" s="606"/>
      <c r="K11" s="606"/>
      <c r="L11" s="606"/>
      <c r="M11" s="529"/>
    </row>
    <row r="12" spans="1:13" ht="30" customHeight="1">
      <c r="B12" s="261" t="s">
        <v>112</v>
      </c>
      <c r="C12" s="262" t="s">
        <v>227</v>
      </c>
      <c r="D12" s="260" t="s">
        <v>228</v>
      </c>
      <c r="E12" s="605"/>
      <c r="F12" s="606"/>
      <c r="G12" s="606"/>
      <c r="H12" s="606"/>
      <c r="I12" s="606"/>
      <c r="J12" s="606"/>
      <c r="K12" s="606"/>
      <c r="L12" s="606"/>
      <c r="M12" s="529"/>
    </row>
    <row r="13" spans="1:13" ht="30" customHeight="1">
      <c r="B13" s="261" t="s">
        <v>116</v>
      </c>
      <c r="C13" s="262" t="s">
        <v>229</v>
      </c>
      <c r="D13" s="260" t="s">
        <v>230</v>
      </c>
      <c r="E13" s="605"/>
      <c r="F13" s="606"/>
      <c r="G13" s="606"/>
      <c r="H13" s="606"/>
      <c r="I13" s="606"/>
      <c r="J13" s="606"/>
      <c r="K13" s="606"/>
      <c r="L13" s="606"/>
      <c r="M13" s="529"/>
    </row>
    <row r="14" spans="1:13" ht="30" customHeight="1">
      <c r="B14" s="258">
        <v>2</v>
      </c>
      <c r="C14" s="257" t="s">
        <v>231</v>
      </c>
      <c r="D14" s="607" t="s">
        <v>232</v>
      </c>
      <c r="E14" s="606"/>
      <c r="F14" s="606"/>
      <c r="G14" s="606"/>
      <c r="H14" s="606"/>
      <c r="I14" s="606"/>
      <c r="J14" s="606"/>
      <c r="K14" s="606"/>
      <c r="L14" s="606"/>
      <c r="M14" s="529"/>
    </row>
    <row r="15" spans="1:13" ht="30" customHeight="1">
      <c r="B15" s="261" t="s">
        <v>121</v>
      </c>
      <c r="C15" s="262" t="s">
        <v>233</v>
      </c>
      <c r="D15" s="260" t="s">
        <v>234</v>
      </c>
      <c r="E15" s="605"/>
      <c r="F15" s="606"/>
      <c r="G15" s="606"/>
      <c r="H15" s="606"/>
      <c r="I15" s="606"/>
      <c r="J15" s="606"/>
      <c r="K15" s="606"/>
      <c r="L15" s="606"/>
      <c r="M15" s="529"/>
    </row>
    <row r="16" spans="1:13" ht="30" customHeight="1">
      <c r="B16" s="261" t="s">
        <v>125</v>
      </c>
      <c r="C16" s="263" t="s">
        <v>235</v>
      </c>
      <c r="D16" s="260" t="s">
        <v>236</v>
      </c>
      <c r="E16" s="605"/>
      <c r="F16" s="606"/>
      <c r="G16" s="606"/>
      <c r="H16" s="606"/>
      <c r="I16" s="606"/>
      <c r="J16" s="606"/>
      <c r="K16" s="606"/>
      <c r="L16" s="606"/>
      <c r="M16" s="529"/>
    </row>
    <row r="17" spans="2:13" ht="30" customHeight="1">
      <c r="B17" s="261" t="s">
        <v>129</v>
      </c>
      <c r="C17" s="263" t="s">
        <v>237</v>
      </c>
      <c r="D17" s="260" t="s">
        <v>238</v>
      </c>
      <c r="E17" s="605"/>
      <c r="F17" s="606"/>
      <c r="G17" s="606"/>
      <c r="H17" s="606"/>
      <c r="I17" s="606"/>
      <c r="J17" s="606"/>
      <c r="K17" s="606"/>
      <c r="L17" s="606"/>
      <c r="M17" s="529"/>
    </row>
    <row r="18" spans="2:13" ht="30" customHeight="1">
      <c r="B18" s="261" t="s">
        <v>239</v>
      </c>
      <c r="C18" s="262" t="s">
        <v>240</v>
      </c>
      <c r="D18" s="260" t="s">
        <v>241</v>
      </c>
      <c r="E18" s="605"/>
      <c r="F18" s="606"/>
      <c r="G18" s="606"/>
      <c r="H18" s="606"/>
      <c r="I18" s="606"/>
      <c r="J18" s="606"/>
      <c r="K18" s="606"/>
      <c r="L18" s="606"/>
      <c r="M18" s="529"/>
    </row>
    <row r="19" spans="2:13" ht="30" customHeight="1">
      <c r="B19" s="261" t="s">
        <v>242</v>
      </c>
      <c r="C19" s="262" t="s">
        <v>243</v>
      </c>
      <c r="D19" s="260" t="s">
        <v>244</v>
      </c>
      <c r="E19" s="605"/>
      <c r="F19" s="606"/>
      <c r="G19" s="606"/>
      <c r="H19" s="606"/>
      <c r="I19" s="606"/>
      <c r="J19" s="606"/>
      <c r="K19" s="606"/>
      <c r="L19" s="606"/>
      <c r="M19" s="529"/>
    </row>
    <row r="20" spans="2:13" ht="30" customHeight="1">
      <c r="B20" s="261" t="s">
        <v>245</v>
      </c>
      <c r="C20" s="262" t="s">
        <v>246</v>
      </c>
      <c r="D20" s="260" t="s">
        <v>247</v>
      </c>
      <c r="E20" s="605"/>
      <c r="F20" s="606"/>
      <c r="G20" s="606"/>
      <c r="H20" s="606"/>
      <c r="I20" s="606"/>
      <c r="J20" s="606"/>
      <c r="K20" s="606"/>
      <c r="L20" s="606"/>
      <c r="M20" s="529"/>
    </row>
    <row r="21" spans="2:13" ht="30" customHeight="1">
      <c r="B21" s="261" t="s">
        <v>248</v>
      </c>
      <c r="C21" s="262" t="s">
        <v>249</v>
      </c>
      <c r="D21" s="260" t="s">
        <v>250</v>
      </c>
      <c r="E21" s="605"/>
      <c r="F21" s="606"/>
      <c r="G21" s="606"/>
      <c r="H21" s="606"/>
      <c r="I21" s="606"/>
      <c r="J21" s="606"/>
      <c r="K21" s="606"/>
      <c r="L21" s="606"/>
      <c r="M21" s="529"/>
    </row>
    <row r="22" spans="2:13" ht="30" customHeight="1">
      <c r="B22" s="261" t="s">
        <v>251</v>
      </c>
      <c r="C22" s="262" t="s">
        <v>252</v>
      </c>
      <c r="D22" s="260" t="s">
        <v>253</v>
      </c>
      <c r="E22" s="605"/>
      <c r="F22" s="606"/>
      <c r="G22" s="606"/>
      <c r="H22" s="606"/>
      <c r="I22" s="606"/>
      <c r="J22" s="606"/>
      <c r="K22" s="606"/>
      <c r="L22" s="606"/>
      <c r="M22" s="529"/>
    </row>
    <row r="23" spans="2:13" ht="30" customHeight="1">
      <c r="B23" s="261" t="s">
        <v>254</v>
      </c>
      <c r="C23" s="262" t="s">
        <v>255</v>
      </c>
      <c r="D23" s="260" t="s">
        <v>256</v>
      </c>
      <c r="E23" s="605"/>
      <c r="F23" s="606"/>
      <c r="G23" s="606"/>
      <c r="H23" s="606"/>
      <c r="I23" s="606"/>
      <c r="J23" s="606"/>
      <c r="K23" s="606"/>
      <c r="L23" s="606"/>
      <c r="M23" s="529"/>
    </row>
    <row r="24" spans="2:13" ht="30" customHeight="1">
      <c r="B24" s="258">
        <v>3</v>
      </c>
      <c r="C24" s="257" t="s">
        <v>257</v>
      </c>
      <c r="D24" s="607" t="s">
        <v>258</v>
      </c>
      <c r="E24" s="606"/>
      <c r="F24" s="606"/>
      <c r="G24" s="606"/>
      <c r="H24" s="606"/>
      <c r="I24" s="606"/>
      <c r="J24" s="606"/>
      <c r="K24" s="606"/>
      <c r="L24" s="606"/>
      <c r="M24" s="529"/>
    </row>
    <row r="25" spans="2:13" ht="30" customHeight="1">
      <c r="B25" s="261" t="s">
        <v>134</v>
      </c>
      <c r="C25" s="262" t="s">
        <v>259</v>
      </c>
      <c r="D25" s="260" t="s">
        <v>260</v>
      </c>
      <c r="E25" s="605"/>
      <c r="F25" s="606"/>
      <c r="G25" s="606"/>
      <c r="H25" s="606"/>
      <c r="I25" s="606"/>
      <c r="J25" s="606"/>
      <c r="K25" s="606"/>
      <c r="L25" s="606"/>
      <c r="M25" s="529"/>
    </row>
    <row r="26" spans="2:13" ht="30" customHeight="1">
      <c r="B26" s="261" t="s">
        <v>138</v>
      </c>
      <c r="C26" s="262" t="s">
        <v>261</v>
      </c>
      <c r="D26" s="260" t="s">
        <v>262</v>
      </c>
      <c r="E26" s="605"/>
      <c r="F26" s="606"/>
      <c r="G26" s="606"/>
      <c r="H26" s="606"/>
      <c r="I26" s="606"/>
      <c r="J26" s="606"/>
      <c r="K26" s="606"/>
      <c r="L26" s="606"/>
      <c r="M26" s="529"/>
    </row>
    <row r="27" spans="2:13" ht="30" customHeight="1">
      <c r="B27" s="261" t="s">
        <v>142</v>
      </c>
      <c r="C27" s="262" t="s">
        <v>263</v>
      </c>
      <c r="D27" s="260" t="s">
        <v>264</v>
      </c>
      <c r="E27" s="605"/>
      <c r="F27" s="606"/>
      <c r="G27" s="606"/>
      <c r="H27" s="606"/>
      <c r="I27" s="606"/>
      <c r="J27" s="606"/>
      <c r="K27" s="606"/>
      <c r="L27" s="606"/>
      <c r="M27" s="529"/>
    </row>
    <row r="28" spans="2:13" ht="30" customHeight="1">
      <c r="B28" s="261" t="s">
        <v>265</v>
      </c>
      <c r="C28" s="262" t="s">
        <v>266</v>
      </c>
      <c r="D28" s="260" t="s">
        <v>267</v>
      </c>
      <c r="E28" s="605"/>
      <c r="F28" s="606"/>
      <c r="G28" s="606"/>
      <c r="H28" s="606"/>
      <c r="I28" s="606"/>
      <c r="J28" s="606"/>
      <c r="K28" s="606"/>
      <c r="L28" s="606"/>
      <c r="M28" s="529"/>
    </row>
    <row r="29" spans="2:13" ht="30" customHeight="1">
      <c r="B29" s="258">
        <v>4</v>
      </c>
      <c r="C29" s="257" t="s">
        <v>268</v>
      </c>
      <c r="D29" s="607" t="s">
        <v>269</v>
      </c>
      <c r="E29" s="606"/>
      <c r="F29" s="606"/>
      <c r="G29" s="606"/>
      <c r="H29" s="606"/>
      <c r="I29" s="606"/>
      <c r="J29" s="606"/>
      <c r="K29" s="606"/>
      <c r="L29" s="606"/>
      <c r="M29" s="529"/>
    </row>
    <row r="30" spans="2:13" ht="30" customHeight="1">
      <c r="B30" s="261" t="s">
        <v>147</v>
      </c>
      <c r="C30" s="263" t="s">
        <v>270</v>
      </c>
      <c r="D30" s="260" t="s">
        <v>271</v>
      </c>
      <c r="E30" s="605"/>
      <c r="F30" s="606"/>
      <c r="G30" s="606"/>
      <c r="H30" s="606"/>
      <c r="I30" s="606"/>
      <c r="J30" s="606"/>
      <c r="K30" s="606"/>
      <c r="L30" s="606"/>
      <c r="M30" s="529"/>
    </row>
    <row r="31" spans="2:13" ht="30" customHeight="1">
      <c r="B31" s="261" t="s">
        <v>151</v>
      </c>
      <c r="C31" s="263" t="s">
        <v>272</v>
      </c>
      <c r="D31" s="260" t="s">
        <v>273</v>
      </c>
      <c r="E31" s="605"/>
      <c r="F31" s="606"/>
      <c r="G31" s="606"/>
      <c r="H31" s="606"/>
      <c r="I31" s="606"/>
      <c r="J31" s="606"/>
      <c r="K31" s="606"/>
      <c r="L31" s="606"/>
      <c r="M31" s="529"/>
    </row>
    <row r="32" spans="2:13" ht="30" customHeight="1">
      <c r="B32" s="261" t="s">
        <v>155</v>
      </c>
      <c r="C32" s="263" t="s">
        <v>274</v>
      </c>
      <c r="D32" s="260" t="s">
        <v>275</v>
      </c>
      <c r="E32" s="605"/>
      <c r="F32" s="606"/>
      <c r="G32" s="606"/>
      <c r="H32" s="606"/>
      <c r="I32" s="606"/>
      <c r="J32" s="606"/>
      <c r="K32" s="606"/>
      <c r="L32" s="606"/>
      <c r="M32" s="529"/>
    </row>
    <row r="33" spans="2:13" ht="30" customHeight="1">
      <c r="B33" s="261" t="s">
        <v>276</v>
      </c>
      <c r="C33" s="263" t="s">
        <v>277</v>
      </c>
      <c r="D33" s="260" t="s">
        <v>278</v>
      </c>
      <c r="E33" s="605"/>
      <c r="F33" s="606"/>
      <c r="G33" s="606"/>
      <c r="H33" s="606"/>
      <c r="I33" s="606"/>
      <c r="J33" s="606"/>
      <c r="K33" s="606"/>
      <c r="L33" s="606"/>
      <c r="M33" s="529"/>
    </row>
    <row r="34" spans="2:13" ht="30" customHeight="1">
      <c r="B34" s="261" t="s">
        <v>279</v>
      </c>
      <c r="C34" s="263" t="s">
        <v>280</v>
      </c>
      <c r="D34" s="260" t="s">
        <v>281</v>
      </c>
      <c r="E34" s="605"/>
      <c r="F34" s="606"/>
      <c r="G34" s="606"/>
      <c r="H34" s="606"/>
      <c r="I34" s="606"/>
      <c r="J34" s="606"/>
      <c r="K34" s="606"/>
      <c r="L34" s="606"/>
      <c r="M34" s="529"/>
    </row>
    <row r="35" spans="2:13" ht="30" customHeight="1">
      <c r="B35" s="261" t="s">
        <v>282</v>
      </c>
      <c r="C35" s="263" t="s">
        <v>283</v>
      </c>
      <c r="D35" s="260" t="s">
        <v>284</v>
      </c>
      <c r="E35" s="605"/>
      <c r="F35" s="606"/>
      <c r="G35" s="606"/>
      <c r="H35" s="606"/>
      <c r="I35" s="606"/>
      <c r="J35" s="606"/>
      <c r="K35" s="606"/>
      <c r="L35" s="606"/>
      <c r="M35" s="529"/>
    </row>
    <row r="36" spans="2:13" ht="30" customHeight="1">
      <c r="B36" s="258">
        <v>5</v>
      </c>
      <c r="C36" s="257" t="s">
        <v>285</v>
      </c>
      <c r="D36" s="607" t="s">
        <v>286</v>
      </c>
      <c r="E36" s="606"/>
      <c r="F36" s="606"/>
      <c r="G36" s="606"/>
      <c r="H36" s="606"/>
      <c r="I36" s="606"/>
      <c r="J36" s="606"/>
      <c r="K36" s="606"/>
      <c r="L36" s="606"/>
      <c r="M36" s="529"/>
    </row>
    <row r="37" spans="2:13" ht="30" customHeight="1">
      <c r="B37" s="261" t="s">
        <v>287</v>
      </c>
      <c r="C37" s="263" t="s">
        <v>288</v>
      </c>
      <c r="D37" s="260" t="s">
        <v>289</v>
      </c>
      <c r="E37" s="605"/>
      <c r="F37" s="606"/>
      <c r="G37" s="606"/>
      <c r="H37" s="606"/>
      <c r="I37" s="606"/>
      <c r="J37" s="606"/>
      <c r="K37" s="606"/>
      <c r="L37" s="606"/>
      <c r="M37" s="529"/>
    </row>
    <row r="38" spans="2:13" ht="30" customHeight="1">
      <c r="B38" s="261" t="s">
        <v>290</v>
      </c>
      <c r="C38" s="263" t="s">
        <v>291</v>
      </c>
      <c r="D38" s="260" t="s">
        <v>292</v>
      </c>
      <c r="E38" s="605"/>
      <c r="F38" s="606"/>
      <c r="G38" s="606"/>
      <c r="H38" s="606"/>
      <c r="I38" s="606"/>
      <c r="J38" s="606"/>
      <c r="K38" s="606"/>
      <c r="L38" s="606"/>
      <c r="M38" s="529"/>
    </row>
    <row r="39" spans="2:13" ht="30" customHeight="1">
      <c r="B39" s="258">
        <v>6</v>
      </c>
      <c r="C39" s="257" t="s">
        <v>293</v>
      </c>
      <c r="D39" s="607" t="s">
        <v>294</v>
      </c>
      <c r="E39" s="606"/>
      <c r="F39" s="606"/>
      <c r="G39" s="606"/>
      <c r="H39" s="606"/>
      <c r="I39" s="606"/>
      <c r="J39" s="606"/>
      <c r="K39" s="606"/>
      <c r="L39" s="606"/>
      <c r="M39" s="529"/>
    </row>
    <row r="40" spans="2:13" ht="30" customHeight="1">
      <c r="B40" s="261" t="s">
        <v>295</v>
      </c>
      <c r="C40" s="263" t="s">
        <v>296</v>
      </c>
      <c r="D40" s="260" t="s">
        <v>297</v>
      </c>
      <c r="E40" s="605"/>
      <c r="F40" s="606"/>
      <c r="G40" s="606"/>
      <c r="H40" s="606"/>
      <c r="I40" s="606"/>
      <c r="J40" s="606"/>
      <c r="K40" s="606"/>
      <c r="L40" s="606"/>
      <c r="M40" s="529"/>
    </row>
    <row r="41" spans="2:13" ht="30" customHeight="1">
      <c r="B41" s="261" t="s">
        <v>298</v>
      </c>
      <c r="C41" s="263" t="s">
        <v>299</v>
      </c>
      <c r="D41" s="260" t="s">
        <v>300</v>
      </c>
      <c r="E41" s="605"/>
      <c r="F41" s="606"/>
      <c r="G41" s="606"/>
      <c r="H41" s="606"/>
      <c r="I41" s="606"/>
      <c r="J41" s="606"/>
      <c r="K41" s="606"/>
      <c r="L41" s="606"/>
      <c r="M41" s="529"/>
    </row>
  </sheetData>
  <mergeCells count="36">
    <mergeCell ref="E41:M41"/>
    <mergeCell ref="E30:M30"/>
    <mergeCell ref="E31:M31"/>
    <mergeCell ref="E32:M32"/>
    <mergeCell ref="E33:M33"/>
    <mergeCell ref="E34:M34"/>
    <mergeCell ref="E35:M35"/>
    <mergeCell ref="D36:M36"/>
    <mergeCell ref="E37:M37"/>
    <mergeCell ref="E38:M38"/>
    <mergeCell ref="D39:M39"/>
    <mergeCell ref="E40:M40"/>
    <mergeCell ref="D29:M29"/>
    <mergeCell ref="E18:M18"/>
    <mergeCell ref="E19:M19"/>
    <mergeCell ref="E20:M20"/>
    <mergeCell ref="E21:M21"/>
    <mergeCell ref="E22:M22"/>
    <mergeCell ref="E23:M23"/>
    <mergeCell ref="D24:M24"/>
    <mergeCell ref="E25:M25"/>
    <mergeCell ref="E26:M26"/>
    <mergeCell ref="E27:M27"/>
    <mergeCell ref="E28:M28"/>
    <mergeCell ref="E17:M17"/>
    <mergeCell ref="B4:M4"/>
    <mergeCell ref="E8:M8"/>
    <mergeCell ref="B9:C9"/>
    <mergeCell ref="E9:M9"/>
    <mergeCell ref="D10:M10"/>
    <mergeCell ref="E11:M11"/>
    <mergeCell ref="E12:M12"/>
    <mergeCell ref="E13:M13"/>
    <mergeCell ref="D14:M14"/>
    <mergeCell ref="E15:M15"/>
    <mergeCell ref="E16:M16"/>
  </mergeCells>
  <pageMargins left="0.7" right="0.7" top="0.78740157499999996" bottom="0.78740157499999996" header="0.3" footer="0.3"/>
  <pageSetup paperSize="9" orientation="portrait" horizontalDpi="1200" verticalDpi="12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AD38-BA37-45B2-AB78-7D396FFC4D82}">
  <sheetPr>
    <pageSetUpPr fitToPage="1"/>
  </sheetPr>
  <dimension ref="A1:L113"/>
  <sheetViews>
    <sheetView showGridLines="0" showRowColHeaders="0" zoomScale="80" zoomScaleNormal="80" workbookViewId="0"/>
  </sheetViews>
  <sheetFormatPr defaultColWidth="10.85546875" defaultRowHeight="12.75"/>
  <cols>
    <col min="1" max="1" width="1.7109375" style="1" customWidth="1"/>
    <col min="2" max="2" width="5" style="2" customWidth="1"/>
    <col min="3" max="3" width="18.42578125" style="1" customWidth="1"/>
    <col min="4" max="4" width="17.7109375" style="1" customWidth="1"/>
    <col min="5" max="5" width="7.5703125" style="1" customWidth="1"/>
    <col min="6" max="6" width="12.7109375" style="1" customWidth="1"/>
    <col min="7" max="7" width="16.5703125" style="1" customWidth="1"/>
    <col min="8" max="8" width="14.85546875" style="1" customWidth="1"/>
    <col min="9" max="9" width="5.85546875" style="1" customWidth="1"/>
    <col min="10" max="10" width="12.85546875" style="1" customWidth="1"/>
    <col min="11" max="11" width="15.85546875" style="1" customWidth="1"/>
    <col min="12" max="12" width="2.5703125" style="1" customWidth="1"/>
    <col min="13" max="16384" width="10.85546875" style="1"/>
  </cols>
  <sheetData>
    <row r="1" spans="1:12" ht="5.45" customHeight="1"/>
    <row r="2" spans="1:12" ht="18.600000000000001" customHeight="1">
      <c r="A2" s="32"/>
      <c r="B2" s="421" t="s">
        <v>750</v>
      </c>
      <c r="C2" s="34"/>
      <c r="D2" s="34"/>
      <c r="E2" s="32"/>
      <c r="F2" s="32"/>
      <c r="G2" s="32"/>
      <c r="H2" s="32"/>
      <c r="I2" s="32"/>
      <c r="J2" s="32"/>
      <c r="K2" s="32"/>
    </row>
    <row r="3" spans="1:12" s="8" customFormat="1" ht="5.45" customHeight="1">
      <c r="A3" s="32"/>
      <c r="B3" s="35"/>
      <c r="C3" s="34"/>
      <c r="D3" s="34"/>
      <c r="E3" s="32"/>
      <c r="F3" s="32"/>
      <c r="G3" s="32"/>
      <c r="H3" s="32"/>
      <c r="I3" s="32"/>
      <c r="J3" s="32"/>
      <c r="K3" s="32"/>
      <c r="L3" s="24"/>
    </row>
    <row r="4" spans="1:12" s="8" customFormat="1" ht="19.5" customHeight="1">
      <c r="A4" s="32"/>
      <c r="B4" s="615" t="s">
        <v>302</v>
      </c>
      <c r="C4" s="617"/>
      <c r="D4" s="617"/>
      <c r="E4" s="617"/>
      <c r="F4" s="617"/>
      <c r="G4" s="617"/>
      <c r="H4" s="617"/>
      <c r="I4" s="617"/>
      <c r="J4" s="617"/>
      <c r="K4" s="618"/>
      <c r="L4" s="24"/>
    </row>
    <row r="5" spans="1:12" s="8" customFormat="1" ht="4.5" customHeight="1">
      <c r="A5" s="32"/>
      <c r="B5" s="267"/>
      <c r="C5" s="268"/>
      <c r="D5" s="268"/>
      <c r="E5" s="269"/>
      <c r="F5" s="269"/>
      <c r="G5" s="269"/>
      <c r="H5" s="269"/>
      <c r="I5" s="269"/>
      <c r="J5" s="269"/>
      <c r="K5" s="270"/>
      <c r="L5" s="24"/>
    </row>
    <row r="6" spans="1:12" s="8" customFormat="1" ht="15" customHeight="1">
      <c r="A6" s="422"/>
      <c r="B6" s="271"/>
      <c r="C6" s="820" t="s">
        <v>303</v>
      </c>
      <c r="D6" s="710"/>
      <c r="E6" s="710"/>
      <c r="F6" s="446"/>
      <c r="G6" s="820" t="s">
        <v>304</v>
      </c>
      <c r="H6" s="710"/>
      <c r="I6" s="446"/>
      <c r="J6" s="446" t="s">
        <v>305</v>
      </c>
      <c r="K6" s="272"/>
      <c r="L6" s="24"/>
    </row>
    <row r="7" spans="1:12" ht="18.95" customHeight="1">
      <c r="B7" s="413"/>
      <c r="C7" s="817" t="s">
        <v>751</v>
      </c>
      <c r="D7" s="818"/>
      <c r="E7" s="819"/>
      <c r="F7" s="59"/>
      <c r="G7" s="817" t="s">
        <v>752</v>
      </c>
      <c r="H7" s="819"/>
      <c r="I7" s="59"/>
      <c r="J7" s="361">
        <v>44903</v>
      </c>
      <c r="K7" s="48"/>
    </row>
    <row r="8" spans="1:12" ht="6.95" customHeight="1">
      <c r="B8" s="413"/>
      <c r="C8" s="77"/>
      <c r="D8" s="266"/>
      <c r="E8" s="59"/>
      <c r="F8" s="59"/>
      <c r="G8" s="77"/>
      <c r="H8" s="59"/>
      <c r="I8" s="59"/>
      <c r="J8" s="77"/>
      <c r="K8" s="48"/>
    </row>
    <row r="9" spans="1:12" ht="20.100000000000001" customHeight="1">
      <c r="A9" s="422"/>
      <c r="B9" s="815" t="s">
        <v>306</v>
      </c>
      <c r="C9" s="606"/>
      <c r="D9" s="606"/>
      <c r="E9" s="606"/>
      <c r="F9" s="606"/>
      <c r="G9" s="606"/>
      <c r="H9" s="606"/>
      <c r="I9" s="606"/>
      <c r="J9" s="273"/>
      <c r="K9" s="427" t="s">
        <v>307</v>
      </c>
    </row>
    <row r="10" spans="1:12" ht="12.6" customHeight="1">
      <c r="B10" s="36" t="s">
        <v>59</v>
      </c>
      <c r="C10" s="816" t="s">
        <v>308</v>
      </c>
      <c r="D10" s="712"/>
      <c r="E10" s="712"/>
      <c r="F10" s="712"/>
      <c r="G10" s="712"/>
      <c r="H10" s="712"/>
      <c r="I10" s="712"/>
      <c r="J10" s="37"/>
      <c r="K10" s="38"/>
    </row>
    <row r="11" spans="1:12" ht="15">
      <c r="B11" s="39"/>
      <c r="C11" s="763" t="s">
        <v>309</v>
      </c>
      <c r="D11" s="455"/>
      <c r="E11" s="455"/>
      <c r="F11" s="455"/>
      <c r="G11" s="455"/>
      <c r="H11" s="455"/>
      <c r="I11" s="455"/>
      <c r="K11" s="40"/>
    </row>
    <row r="12" spans="1:12" s="2" customFormat="1" ht="12.6" customHeight="1">
      <c r="A12" s="1"/>
      <c r="B12" s="39"/>
      <c r="C12" s="1" t="s">
        <v>555</v>
      </c>
      <c r="D12" s="1" t="s">
        <v>556</v>
      </c>
      <c r="E12" s="1" t="s">
        <v>753</v>
      </c>
      <c r="F12" s="1"/>
      <c r="G12" s="1" t="s">
        <v>558</v>
      </c>
      <c r="H12" s="1"/>
      <c r="I12" s="1"/>
      <c r="J12" s="3" t="s">
        <v>310</v>
      </c>
      <c r="K12" s="277">
        <v>2</v>
      </c>
    </row>
    <row r="13" spans="1:12" ht="12.6" customHeight="1">
      <c r="B13" s="39"/>
      <c r="C13" s="763" t="s">
        <v>311</v>
      </c>
      <c r="D13" s="455"/>
      <c r="E13" s="455"/>
      <c r="F13" s="455"/>
      <c r="G13" s="455"/>
      <c r="H13" s="455"/>
      <c r="I13" s="455"/>
      <c r="K13" s="278"/>
    </row>
    <row r="14" spans="1:12" ht="12.6" customHeight="1">
      <c r="B14" s="39"/>
      <c r="C14" s="1" t="s">
        <v>555</v>
      </c>
      <c r="D14" s="1" t="s">
        <v>556</v>
      </c>
      <c r="E14" s="1" t="s">
        <v>560</v>
      </c>
      <c r="G14" s="1" t="s">
        <v>754</v>
      </c>
      <c r="J14" s="3" t="s">
        <v>310</v>
      </c>
      <c r="K14" s="277">
        <v>3</v>
      </c>
    </row>
    <row r="15" spans="1:12" ht="12.6" customHeight="1">
      <c r="B15" s="39" t="s">
        <v>75</v>
      </c>
      <c r="C15" s="814" t="s">
        <v>312</v>
      </c>
      <c r="D15" s="455"/>
      <c r="E15" s="455"/>
      <c r="F15" s="455"/>
      <c r="G15" s="455"/>
      <c r="H15" s="455"/>
      <c r="I15" s="455"/>
      <c r="K15" s="278"/>
    </row>
    <row r="16" spans="1:12" ht="12.6" customHeight="1">
      <c r="B16" s="41"/>
      <c r="C16" s="763" t="s">
        <v>313</v>
      </c>
      <c r="D16" s="455"/>
      <c r="E16" s="455"/>
      <c r="F16" s="455"/>
      <c r="G16" s="455"/>
      <c r="H16" s="455"/>
      <c r="I16" s="455"/>
      <c r="K16" s="278"/>
    </row>
    <row r="17" spans="2:11" ht="12.6" customHeight="1">
      <c r="B17" s="41"/>
      <c r="C17" s="1" t="s">
        <v>755</v>
      </c>
      <c r="D17" s="1" t="s">
        <v>756</v>
      </c>
      <c r="E17" s="1" t="s">
        <v>757</v>
      </c>
      <c r="G17" s="1" t="s">
        <v>758</v>
      </c>
      <c r="J17" s="3" t="s">
        <v>310</v>
      </c>
      <c r="K17" s="277">
        <v>2</v>
      </c>
    </row>
    <row r="18" spans="2:11" ht="12.6" customHeight="1">
      <c r="B18" s="41"/>
      <c r="C18" s="763" t="s">
        <v>318</v>
      </c>
      <c r="D18" s="455"/>
      <c r="E18" s="455"/>
      <c r="F18" s="455"/>
      <c r="G18" s="455"/>
      <c r="H18" s="455"/>
      <c r="I18" s="455"/>
      <c r="J18" s="3"/>
      <c r="K18" s="278"/>
    </row>
    <row r="19" spans="2:11" ht="12.6" customHeight="1">
      <c r="B19" s="41"/>
      <c r="C19" s="1" t="s">
        <v>755</v>
      </c>
      <c r="D19" s="1" t="s">
        <v>756</v>
      </c>
      <c r="E19" s="1" t="s">
        <v>757</v>
      </c>
      <c r="G19" s="1" t="s">
        <v>758</v>
      </c>
      <c r="J19" s="3" t="s">
        <v>310</v>
      </c>
      <c r="K19" s="277">
        <v>2</v>
      </c>
    </row>
    <row r="20" spans="2:11" ht="12.6" customHeight="1">
      <c r="B20" s="39" t="s">
        <v>80</v>
      </c>
      <c r="C20" s="814" t="s">
        <v>319</v>
      </c>
      <c r="D20" s="455"/>
      <c r="E20" s="455"/>
      <c r="F20" s="455"/>
      <c r="G20" s="455"/>
      <c r="H20" s="455"/>
      <c r="I20" s="455"/>
      <c r="K20" s="278"/>
    </row>
    <row r="21" spans="2:11" ht="12.6" customHeight="1">
      <c r="B21" s="41"/>
      <c r="C21" s="763" t="s">
        <v>320</v>
      </c>
      <c r="D21" s="455"/>
      <c r="E21" s="455"/>
      <c r="F21" s="455"/>
      <c r="G21" s="455"/>
      <c r="H21" s="455"/>
      <c r="I21" s="455"/>
      <c r="K21" s="278"/>
    </row>
    <row r="22" spans="2:11" ht="12.6" customHeight="1">
      <c r="B22" s="41"/>
      <c r="C22" s="1" t="s">
        <v>555</v>
      </c>
      <c r="D22" s="1" t="s">
        <v>556</v>
      </c>
      <c r="E22" s="1" t="s">
        <v>560</v>
      </c>
      <c r="G22" s="1" t="s">
        <v>754</v>
      </c>
      <c r="J22" s="3" t="s">
        <v>310</v>
      </c>
      <c r="K22" s="277">
        <v>3</v>
      </c>
    </row>
    <row r="23" spans="2:11" ht="12.6" customHeight="1">
      <c r="B23" s="41"/>
      <c r="C23" s="763" t="s">
        <v>321</v>
      </c>
      <c r="D23" s="455"/>
      <c r="E23" s="455"/>
      <c r="F23" s="455"/>
      <c r="G23" s="455"/>
      <c r="H23" s="455"/>
      <c r="I23" s="455"/>
      <c r="J23" s="3"/>
      <c r="K23" s="278"/>
    </row>
    <row r="24" spans="2:11" ht="12.6" customHeight="1">
      <c r="B24" s="41"/>
      <c r="C24" s="1" t="s">
        <v>555</v>
      </c>
      <c r="D24" s="1" t="s">
        <v>556</v>
      </c>
      <c r="E24" s="1" t="s">
        <v>753</v>
      </c>
      <c r="G24" s="1" t="s">
        <v>558</v>
      </c>
      <c r="J24" s="3" t="s">
        <v>310</v>
      </c>
      <c r="K24" s="277">
        <v>3</v>
      </c>
    </row>
    <row r="25" spans="2:11" ht="12.6" customHeight="1">
      <c r="B25" s="39" t="s">
        <v>322</v>
      </c>
      <c r="C25" s="814" t="s">
        <v>323</v>
      </c>
      <c r="D25" s="455"/>
      <c r="E25" s="455"/>
      <c r="F25" s="455"/>
      <c r="G25" s="455"/>
      <c r="H25" s="455"/>
      <c r="I25" s="455"/>
      <c r="K25" s="278"/>
    </row>
    <row r="26" spans="2:11" ht="12.6" customHeight="1">
      <c r="B26" s="41"/>
      <c r="C26" s="763" t="s">
        <v>324</v>
      </c>
      <c r="D26" s="455"/>
      <c r="E26" s="455"/>
      <c r="F26" s="455"/>
      <c r="G26" s="455"/>
      <c r="H26" s="455"/>
      <c r="I26" s="455"/>
      <c r="K26" s="278"/>
    </row>
    <row r="27" spans="2:11" ht="12.6" customHeight="1">
      <c r="B27" s="41"/>
      <c r="C27" s="1" t="s">
        <v>759</v>
      </c>
      <c r="D27" s="1" t="s">
        <v>756</v>
      </c>
      <c r="E27" s="1" t="s">
        <v>760</v>
      </c>
      <c r="G27" s="1" t="s">
        <v>761</v>
      </c>
      <c r="J27" s="3" t="s">
        <v>310</v>
      </c>
      <c r="K27" s="277">
        <v>2</v>
      </c>
    </row>
    <row r="28" spans="2:11" ht="12.6" customHeight="1">
      <c r="B28" s="41"/>
      <c r="C28" s="763" t="s">
        <v>328</v>
      </c>
      <c r="D28" s="455"/>
      <c r="E28" s="455"/>
      <c r="F28" s="455"/>
      <c r="G28" s="455"/>
      <c r="H28" s="455"/>
      <c r="I28" s="455"/>
      <c r="J28" s="3"/>
      <c r="K28" s="278"/>
    </row>
    <row r="29" spans="2:11" ht="12.6" customHeight="1">
      <c r="B29" s="41"/>
      <c r="C29" s="1" t="s">
        <v>555</v>
      </c>
      <c r="D29" s="1" t="s">
        <v>556</v>
      </c>
      <c r="E29" s="1" t="s">
        <v>753</v>
      </c>
      <c r="G29" s="1" t="s">
        <v>558</v>
      </c>
      <c r="J29" s="3" t="s">
        <v>310</v>
      </c>
      <c r="K29" s="277">
        <v>2</v>
      </c>
    </row>
    <row r="30" spans="2:11" ht="12.6" customHeight="1">
      <c r="B30" s="39" t="s">
        <v>329</v>
      </c>
      <c r="C30" s="814" t="s">
        <v>330</v>
      </c>
      <c r="D30" s="455"/>
      <c r="E30" s="455"/>
      <c r="F30" s="455"/>
      <c r="G30" s="455"/>
      <c r="H30" s="455"/>
      <c r="I30" s="455"/>
      <c r="K30" s="278"/>
    </row>
    <row r="31" spans="2:11" ht="12.6" customHeight="1">
      <c r="B31" s="41"/>
      <c r="C31" s="763" t="s">
        <v>331</v>
      </c>
      <c r="D31" s="455"/>
      <c r="E31" s="455"/>
      <c r="F31" s="455"/>
      <c r="G31" s="455"/>
      <c r="H31" s="455"/>
      <c r="I31" s="455"/>
      <c r="K31" s="278"/>
    </row>
    <row r="32" spans="2:11" ht="12.6" customHeight="1">
      <c r="B32" s="41"/>
      <c r="C32" s="1" t="s">
        <v>755</v>
      </c>
      <c r="D32" s="1" t="s">
        <v>762</v>
      </c>
      <c r="E32" s="1" t="s">
        <v>763</v>
      </c>
      <c r="G32" s="1" t="s">
        <v>764</v>
      </c>
      <c r="J32" s="3" t="s">
        <v>310</v>
      </c>
      <c r="K32" s="277">
        <v>3</v>
      </c>
    </row>
    <row r="33" spans="1:11" ht="12.6" customHeight="1">
      <c r="B33" s="41"/>
      <c r="C33" s="763" t="s">
        <v>335</v>
      </c>
      <c r="D33" s="455"/>
      <c r="E33" s="455"/>
      <c r="F33" s="455"/>
      <c r="G33" s="455"/>
      <c r="H33" s="455"/>
      <c r="I33" s="455"/>
      <c r="J33" s="3"/>
      <c r="K33" s="278"/>
    </row>
    <row r="34" spans="1:11" ht="12.6" customHeight="1">
      <c r="B34" s="41"/>
      <c r="C34" s="1" t="s">
        <v>765</v>
      </c>
      <c r="D34" s="1" t="s">
        <v>766</v>
      </c>
      <c r="E34" s="1" t="s">
        <v>767</v>
      </c>
      <c r="G34" s="1" t="s">
        <v>768</v>
      </c>
      <c r="J34" s="3" t="s">
        <v>310</v>
      </c>
      <c r="K34" s="277">
        <v>3</v>
      </c>
    </row>
    <row r="35" spans="1:11" ht="12.6" customHeight="1" thickBot="1">
      <c r="B35" s="41"/>
      <c r="J35" s="3"/>
      <c r="K35" s="278"/>
    </row>
    <row r="36" spans="1:11" ht="18.75" customHeight="1" thickTop="1" thickBot="1">
      <c r="A36" s="42"/>
      <c r="B36" s="811" t="s">
        <v>769</v>
      </c>
      <c r="C36" s="812"/>
      <c r="D36" s="812"/>
      <c r="E36" s="812"/>
      <c r="F36" s="812"/>
      <c r="G36" s="812"/>
      <c r="H36" s="812"/>
      <c r="I36" s="812"/>
      <c r="J36" s="813"/>
      <c r="K36" s="279">
        <f>SUM(K12:K34)</f>
        <v>25</v>
      </c>
    </row>
    <row r="37" spans="1:11" ht="12.6" customHeight="1" thickTop="1"/>
    <row r="38" spans="1:11" ht="12.6" customHeight="1"/>
    <row r="39" spans="1:11" ht="12.6" customHeight="1"/>
    <row r="40" spans="1:11" ht="12.6" customHeight="1"/>
    <row r="41" spans="1:11" ht="12.6" customHeight="1"/>
    <row r="42" spans="1:11" ht="12.6" customHeight="1"/>
    <row r="43" spans="1:11" ht="12.6" customHeight="1"/>
    <row r="44" spans="1:11" ht="12.6" customHeight="1"/>
    <row r="45" spans="1:11" ht="12.6" customHeight="1"/>
    <row r="46" spans="1:11" ht="12.6" customHeight="1"/>
    <row r="47" spans="1:11" ht="12.6" customHeight="1"/>
    <row r="48" spans="1:11"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97" ht="12.6" customHeight="1"/>
    <row r="98" ht="12.6" customHeight="1"/>
    <row r="99" ht="12.6" customHeight="1"/>
    <row r="100" ht="12.6" customHeight="1"/>
    <row r="101" ht="12.6" customHeight="1"/>
    <row r="102" ht="12.6" customHeight="1"/>
    <row r="103" ht="12.6" customHeight="1"/>
    <row r="104" ht="12.6" customHeight="1"/>
    <row r="105" ht="12.6" customHeight="1"/>
    <row r="106" ht="12.6" customHeight="1"/>
    <row r="107" ht="12.6" customHeight="1"/>
    <row r="108" ht="12.6" customHeight="1"/>
    <row r="109" ht="12.6" customHeight="1"/>
    <row r="110" ht="12.6" customHeight="1"/>
    <row r="111" ht="12.6" customHeight="1"/>
    <row r="112" ht="12.6" customHeight="1"/>
    <row r="113" ht="12.6" customHeight="1"/>
  </sheetData>
  <mergeCells count="22">
    <mergeCell ref="B9:I9"/>
    <mergeCell ref="C10:I10"/>
    <mergeCell ref="C11:I11"/>
    <mergeCell ref="C13:I13"/>
    <mergeCell ref="B4:K4"/>
    <mergeCell ref="C7:E7"/>
    <mergeCell ref="G7:H7"/>
    <mergeCell ref="C6:E6"/>
    <mergeCell ref="G6:H6"/>
    <mergeCell ref="B36:J36"/>
    <mergeCell ref="C30:I30"/>
    <mergeCell ref="C25:I25"/>
    <mergeCell ref="C20:I20"/>
    <mergeCell ref="C15:I15"/>
    <mergeCell ref="C23:I23"/>
    <mergeCell ref="C26:I26"/>
    <mergeCell ref="C28:I28"/>
    <mergeCell ref="C31:I31"/>
    <mergeCell ref="C33:I33"/>
    <mergeCell ref="C16:I16"/>
    <mergeCell ref="C18:I18"/>
    <mergeCell ref="C21:I21"/>
  </mergeCells>
  <pageMargins left="0.70866141732283472" right="0.51181102362204722" top="0.59055118110236227" bottom="0.59055118110236227" header="0.31496062992125984" footer="0.31496062992125984"/>
  <pageSetup paperSize="9" scale="56" orientation="portrait" horizontalDpi="1200" verticalDpi="1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BA82-E1A3-4AEE-957E-8B1CC547DF47}">
  <dimension ref="A1:S42"/>
  <sheetViews>
    <sheetView showGridLines="0" showRowColHeaders="0" zoomScale="70" zoomScaleNormal="70" workbookViewId="0"/>
  </sheetViews>
  <sheetFormatPr defaultColWidth="10.85546875" defaultRowHeight="14.25"/>
  <cols>
    <col min="1" max="1" width="1" style="1" customWidth="1"/>
    <col min="2" max="2" width="3.7109375" style="1" customWidth="1"/>
    <col min="3" max="3" width="5.85546875" style="1" customWidth="1"/>
    <col min="4" max="4" width="6.5703125" style="1" customWidth="1"/>
    <col min="5" max="5" width="20.5703125" style="1" customWidth="1"/>
    <col min="6" max="9" width="11.5703125" style="1" customWidth="1"/>
    <col min="10" max="11" width="13.5703125" style="1" customWidth="1"/>
    <col min="12" max="18" width="12.5703125" style="1" customWidth="1"/>
    <col min="19" max="19" width="2.42578125" style="1" customWidth="1"/>
    <col min="20" max="16384" width="10.85546875" style="8"/>
  </cols>
  <sheetData>
    <row r="1" spans="1:19" ht="6" customHeight="1"/>
    <row r="2" spans="1:19" ht="24.6" customHeight="1">
      <c r="B2" s="421" t="s">
        <v>770</v>
      </c>
      <c r="C2" s="421"/>
      <c r="G2" s="3"/>
      <c r="H2" s="3"/>
      <c r="I2" s="3"/>
      <c r="J2" s="3"/>
      <c r="K2" s="3"/>
      <c r="L2" s="3"/>
      <c r="M2" s="3"/>
      <c r="N2" s="3"/>
      <c r="O2" s="3"/>
      <c r="P2" s="3"/>
      <c r="Q2" s="3"/>
      <c r="R2" s="3"/>
      <c r="S2" s="3"/>
    </row>
    <row r="3" spans="1:19" ht="6" customHeight="1">
      <c r="B3" s="421"/>
      <c r="C3" s="421"/>
      <c r="G3" s="3"/>
      <c r="H3" s="3"/>
      <c r="I3" s="3"/>
      <c r="J3" s="3"/>
      <c r="K3" s="3"/>
      <c r="L3" s="3"/>
      <c r="M3" s="3"/>
      <c r="N3" s="3"/>
      <c r="O3" s="3"/>
      <c r="P3" s="3"/>
      <c r="Q3" s="3"/>
      <c r="R3" s="3"/>
      <c r="S3" s="3"/>
    </row>
    <row r="4" spans="1:19" ht="20.45" customHeight="1">
      <c r="A4" s="422"/>
      <c r="B4" s="516" t="s">
        <v>342</v>
      </c>
      <c r="C4" s="517"/>
      <c r="D4" s="517"/>
      <c r="E4" s="517"/>
      <c r="F4" s="517"/>
      <c r="G4" s="517"/>
      <c r="H4" s="517"/>
      <c r="I4" s="517"/>
      <c r="J4" s="517"/>
      <c r="K4" s="517"/>
      <c r="L4" s="517"/>
      <c r="M4" s="517"/>
      <c r="N4" s="517"/>
      <c r="O4" s="517"/>
      <c r="P4" s="517"/>
      <c r="Q4" s="517"/>
      <c r="R4" s="517"/>
      <c r="S4" s="518"/>
    </row>
    <row r="5" spans="1:19" ht="8.1" customHeight="1">
      <c r="B5" s="12"/>
      <c r="C5" s="286"/>
      <c r="D5" s="13"/>
      <c r="E5" s="13"/>
      <c r="F5" s="13"/>
      <c r="G5" s="13"/>
      <c r="H5" s="13"/>
      <c r="I5" s="13"/>
      <c r="J5" s="13"/>
      <c r="K5" s="13"/>
      <c r="L5" s="13"/>
      <c r="M5" s="13"/>
      <c r="N5" s="13"/>
      <c r="O5" s="13"/>
      <c r="P5" s="13"/>
      <c r="Q5" s="13"/>
      <c r="R5" s="13"/>
      <c r="S5" s="15"/>
    </row>
    <row r="6" spans="1:19" ht="18" customHeight="1">
      <c r="A6" s="422"/>
      <c r="B6" s="16"/>
      <c r="C6" s="133"/>
      <c r="D6" s="419" t="s">
        <v>343</v>
      </c>
      <c r="E6" s="644" t="s">
        <v>771</v>
      </c>
      <c r="F6" s="645"/>
      <c r="G6" s="645"/>
      <c r="H6" s="645"/>
      <c r="I6" s="645"/>
      <c r="J6" s="419"/>
      <c r="K6" s="419" t="s">
        <v>45</v>
      </c>
      <c r="L6" s="662" t="s">
        <v>496</v>
      </c>
      <c r="M6" s="663"/>
      <c r="N6" s="663"/>
      <c r="O6" s="663"/>
      <c r="P6" s="419" t="s">
        <v>57</v>
      </c>
      <c r="Q6" s="361">
        <v>44903</v>
      </c>
      <c r="R6" s="419"/>
      <c r="S6" s="290"/>
    </row>
    <row r="7" spans="1:19" ht="6" customHeight="1">
      <c r="B7" s="19"/>
      <c r="C7" s="287"/>
      <c r="D7" s="20"/>
      <c r="E7" s="20"/>
      <c r="F7" s="20"/>
      <c r="G7" s="20"/>
      <c r="H7" s="20"/>
      <c r="I7" s="20"/>
      <c r="J7" s="20"/>
      <c r="K7" s="20"/>
      <c r="L7" s="20"/>
      <c r="M7" s="20"/>
      <c r="N7" s="20"/>
      <c r="O7" s="20"/>
      <c r="P7" s="20"/>
      <c r="Q7" s="20"/>
      <c r="R7" s="20"/>
      <c r="S7" s="22"/>
    </row>
    <row r="8" spans="1:19" ht="20.100000000000001" customHeight="1">
      <c r="B8" s="640" t="s">
        <v>344</v>
      </c>
      <c r="C8" s="641"/>
      <c r="D8" s="642"/>
      <c r="E8" s="642"/>
      <c r="F8" s="642"/>
      <c r="G8" s="642"/>
      <c r="H8" s="642"/>
      <c r="I8" s="642"/>
      <c r="J8" s="642"/>
      <c r="K8" s="642"/>
      <c r="L8" s="642"/>
      <c r="M8" s="642"/>
      <c r="N8" s="642"/>
      <c r="O8" s="642"/>
      <c r="P8" s="642"/>
      <c r="Q8" s="642"/>
      <c r="R8" s="642"/>
      <c r="S8" s="643"/>
    </row>
    <row r="9" spans="1:19" ht="20.100000000000001" customHeight="1">
      <c r="B9" s="383"/>
      <c r="C9" s="646" t="s">
        <v>772</v>
      </c>
      <c r="D9" s="647"/>
      <c r="E9" s="647"/>
      <c r="F9" s="647"/>
      <c r="G9" s="647"/>
      <c r="H9" s="647"/>
      <c r="I9" s="647"/>
      <c r="J9" s="647"/>
      <c r="K9" s="647"/>
      <c r="L9" s="647"/>
      <c r="M9" s="647"/>
      <c r="N9" s="647"/>
      <c r="O9" s="647"/>
      <c r="P9" s="647"/>
      <c r="Q9" s="647"/>
      <c r="R9" s="648"/>
      <c r="S9" s="40"/>
    </row>
    <row r="10" spans="1:19" ht="20.100000000000001" customHeight="1">
      <c r="B10" s="383"/>
      <c r="C10" s="649"/>
      <c r="D10" s="650"/>
      <c r="E10" s="650"/>
      <c r="F10" s="650"/>
      <c r="G10" s="650"/>
      <c r="H10" s="650"/>
      <c r="I10" s="650"/>
      <c r="J10" s="650"/>
      <c r="K10" s="650"/>
      <c r="L10" s="650"/>
      <c r="M10" s="650"/>
      <c r="N10" s="650"/>
      <c r="O10" s="650"/>
      <c r="P10" s="650"/>
      <c r="Q10" s="650"/>
      <c r="R10" s="651"/>
      <c r="S10" s="40"/>
    </row>
    <row r="11" spans="1:19" ht="20.100000000000001" customHeight="1">
      <c r="B11" s="383"/>
      <c r="C11" s="649"/>
      <c r="D11" s="650"/>
      <c r="E11" s="650"/>
      <c r="F11" s="650"/>
      <c r="G11" s="650"/>
      <c r="H11" s="650"/>
      <c r="I11" s="650"/>
      <c r="J11" s="650"/>
      <c r="K11" s="650"/>
      <c r="L11" s="650"/>
      <c r="M11" s="650"/>
      <c r="N11" s="650"/>
      <c r="O11" s="650"/>
      <c r="P11" s="650"/>
      <c r="Q11" s="650"/>
      <c r="R11" s="651"/>
      <c r="S11" s="40"/>
    </row>
    <row r="12" spans="1:19" ht="20.100000000000001" customHeight="1">
      <c r="B12" s="383"/>
      <c r="C12" s="649"/>
      <c r="D12" s="650"/>
      <c r="E12" s="650"/>
      <c r="F12" s="650"/>
      <c r="G12" s="650"/>
      <c r="H12" s="650"/>
      <c r="I12" s="650"/>
      <c r="J12" s="650"/>
      <c r="K12" s="650"/>
      <c r="L12" s="650"/>
      <c r="M12" s="650"/>
      <c r="N12" s="650"/>
      <c r="O12" s="650"/>
      <c r="P12" s="650"/>
      <c r="Q12" s="650"/>
      <c r="R12" s="651"/>
      <c r="S12" s="40"/>
    </row>
    <row r="13" spans="1:19" ht="12" customHeight="1">
      <c r="B13" s="383"/>
      <c r="C13" s="652"/>
      <c r="D13" s="653"/>
      <c r="E13" s="653"/>
      <c r="F13" s="653"/>
      <c r="G13" s="653"/>
      <c r="H13" s="653"/>
      <c r="I13" s="653"/>
      <c r="J13" s="653"/>
      <c r="K13" s="653"/>
      <c r="L13" s="653"/>
      <c r="M13" s="653"/>
      <c r="N13" s="653"/>
      <c r="O13" s="653"/>
      <c r="P13" s="653"/>
      <c r="Q13" s="653"/>
      <c r="R13" s="654"/>
      <c r="S13" s="40"/>
    </row>
    <row r="14" spans="1:19" ht="9.9499999999999993" customHeight="1">
      <c r="B14" s="383"/>
      <c r="C14" s="384"/>
      <c r="D14" s="55"/>
      <c r="E14" s="55"/>
      <c r="F14" s="55"/>
      <c r="G14" s="55"/>
      <c r="H14" s="55"/>
      <c r="I14" s="55"/>
      <c r="J14" s="55"/>
      <c r="K14" s="55"/>
      <c r="L14" s="55"/>
      <c r="M14" s="55"/>
      <c r="N14" s="55"/>
      <c r="O14" s="55"/>
      <c r="P14" s="55"/>
      <c r="Q14" s="55"/>
      <c r="R14" s="55"/>
      <c r="S14" s="40"/>
    </row>
    <row r="15" spans="1:19" ht="20.100000000000001" customHeight="1">
      <c r="B15" s="640" t="s">
        <v>345</v>
      </c>
      <c r="C15" s="655"/>
      <c r="D15" s="656"/>
      <c r="E15" s="656"/>
      <c r="F15" s="656"/>
      <c r="G15" s="656"/>
      <c r="H15" s="656"/>
      <c r="I15" s="656"/>
      <c r="J15" s="656"/>
      <c r="K15" s="656"/>
      <c r="L15" s="656"/>
      <c r="M15" s="656"/>
      <c r="N15" s="656"/>
      <c r="O15" s="656"/>
      <c r="P15" s="656"/>
      <c r="Q15" s="656"/>
      <c r="R15" s="656"/>
      <c r="S15" s="643"/>
    </row>
    <row r="16" spans="1:19" ht="15.95" customHeight="1">
      <c r="B16" s="657" t="s">
        <v>346</v>
      </c>
      <c r="C16" s="659" t="s">
        <v>347</v>
      </c>
      <c r="D16" s="426" t="s">
        <v>5</v>
      </c>
      <c r="E16" s="426" t="s">
        <v>348</v>
      </c>
      <c r="F16" s="638" t="s">
        <v>349</v>
      </c>
      <c r="G16" s="639"/>
      <c r="H16" s="460" t="s">
        <v>350</v>
      </c>
      <c r="I16" s="635"/>
      <c r="J16" s="460" t="s">
        <v>351</v>
      </c>
      <c r="K16" s="610"/>
      <c r="L16" s="611"/>
      <c r="M16" s="460" t="s">
        <v>352</v>
      </c>
      <c r="N16" s="611"/>
      <c r="O16" s="675" t="s">
        <v>353</v>
      </c>
      <c r="P16" s="622"/>
      <c r="Q16" s="460" t="s">
        <v>354</v>
      </c>
      <c r="R16" s="611"/>
      <c r="S16" s="676"/>
    </row>
    <row r="17" spans="2:19" ht="15.95" customHeight="1">
      <c r="B17" s="658"/>
      <c r="C17" s="660"/>
      <c r="D17" s="426">
        <v>1</v>
      </c>
      <c r="E17" s="288" t="s">
        <v>773</v>
      </c>
      <c r="F17" s="619" t="s">
        <v>774</v>
      </c>
      <c r="G17" s="620"/>
      <c r="H17" s="619" t="s">
        <v>775</v>
      </c>
      <c r="I17" s="620"/>
      <c r="J17" s="619" t="s">
        <v>776</v>
      </c>
      <c r="K17" s="623"/>
      <c r="L17" s="624"/>
      <c r="M17" s="631">
        <v>160</v>
      </c>
      <c r="N17" s="632"/>
      <c r="O17" s="621">
        <f>160*50</f>
        <v>8000</v>
      </c>
      <c r="P17" s="622"/>
      <c r="Q17" s="629" t="s">
        <v>777</v>
      </c>
      <c r="R17" s="630"/>
      <c r="S17" s="658"/>
    </row>
    <row r="18" spans="2:19" ht="15.95" customHeight="1">
      <c r="B18" s="658"/>
      <c r="C18" s="660"/>
      <c r="D18" s="426">
        <v>2</v>
      </c>
      <c r="E18" s="288" t="s">
        <v>778</v>
      </c>
      <c r="F18" s="619" t="s">
        <v>779</v>
      </c>
      <c r="G18" s="620"/>
      <c r="H18" s="619" t="s">
        <v>780</v>
      </c>
      <c r="I18" s="620"/>
      <c r="J18" s="619" t="s">
        <v>781</v>
      </c>
      <c r="K18" s="623"/>
      <c r="L18" s="624"/>
      <c r="M18" s="631">
        <v>60</v>
      </c>
      <c r="N18" s="632"/>
      <c r="O18" s="621">
        <f>M18*30</f>
        <v>1800</v>
      </c>
      <c r="P18" s="622"/>
      <c r="Q18" s="629"/>
      <c r="R18" s="630"/>
      <c r="S18" s="658"/>
    </row>
    <row r="19" spans="2:19" ht="15.95" customHeight="1">
      <c r="B19" s="658"/>
      <c r="C19" s="660"/>
      <c r="D19" s="426">
        <v>3</v>
      </c>
      <c r="E19" s="288" t="s">
        <v>782</v>
      </c>
      <c r="F19" s="619" t="s">
        <v>779</v>
      </c>
      <c r="G19" s="620"/>
      <c r="H19" s="619" t="s">
        <v>780</v>
      </c>
      <c r="I19" s="620"/>
      <c r="J19" s="619" t="s">
        <v>496</v>
      </c>
      <c r="K19" s="623"/>
      <c r="L19" s="624"/>
      <c r="M19" s="631">
        <v>60</v>
      </c>
      <c r="N19" s="632"/>
      <c r="O19" s="621">
        <f>M19*30</f>
        <v>1800</v>
      </c>
      <c r="P19" s="622"/>
      <c r="Q19" s="629"/>
      <c r="R19" s="630"/>
      <c r="S19" s="658"/>
    </row>
    <row r="20" spans="2:19" ht="15.95" customHeight="1">
      <c r="B20" s="658"/>
      <c r="C20" s="660"/>
      <c r="D20" s="426">
        <v>4</v>
      </c>
      <c r="E20" s="288" t="s">
        <v>783</v>
      </c>
      <c r="F20" s="619" t="s">
        <v>784</v>
      </c>
      <c r="G20" s="620"/>
      <c r="H20" s="619"/>
      <c r="I20" s="620"/>
      <c r="J20" s="619" t="s">
        <v>496</v>
      </c>
      <c r="K20" s="623"/>
      <c r="L20" s="624"/>
      <c r="M20" s="631">
        <v>30</v>
      </c>
      <c r="N20" s="632"/>
      <c r="O20" s="621">
        <f>M20*40</f>
        <v>1200</v>
      </c>
      <c r="P20" s="622"/>
      <c r="Q20" s="629"/>
      <c r="R20" s="630"/>
      <c r="S20" s="658"/>
    </row>
    <row r="21" spans="2:19" ht="15.95" customHeight="1">
      <c r="B21" s="658"/>
      <c r="C21" s="660"/>
      <c r="D21" s="426">
        <v>5</v>
      </c>
      <c r="E21" s="288" t="s">
        <v>785</v>
      </c>
      <c r="F21" s="619" t="s">
        <v>786</v>
      </c>
      <c r="G21" s="620"/>
      <c r="H21" s="619" t="s">
        <v>787</v>
      </c>
      <c r="I21" s="620"/>
      <c r="J21" s="619" t="s">
        <v>788</v>
      </c>
      <c r="K21" s="623"/>
      <c r="L21" s="624"/>
      <c r="M21" s="631">
        <v>180</v>
      </c>
      <c r="N21" s="632"/>
      <c r="O21" s="621">
        <f>160*80</f>
        <v>12800</v>
      </c>
      <c r="P21" s="622"/>
      <c r="Q21" s="629" t="s">
        <v>789</v>
      </c>
      <c r="R21" s="630"/>
      <c r="S21" s="658"/>
    </row>
    <row r="22" spans="2:19" ht="15.95" customHeight="1">
      <c r="B22" s="658"/>
      <c r="C22" s="661"/>
      <c r="D22" s="426">
        <v>6</v>
      </c>
      <c r="E22" s="288" t="s">
        <v>790</v>
      </c>
      <c r="F22" s="619" t="s">
        <v>775</v>
      </c>
      <c r="G22" s="620"/>
      <c r="H22" s="619"/>
      <c r="I22" s="620"/>
      <c r="J22" s="619" t="s">
        <v>788</v>
      </c>
      <c r="K22" s="623"/>
      <c r="L22" s="624"/>
      <c r="M22" s="631">
        <v>40</v>
      </c>
      <c r="N22" s="632"/>
      <c r="O22" s="621">
        <f>160*100</f>
        <v>16000</v>
      </c>
      <c r="P22" s="622"/>
      <c r="Q22" s="629" t="s">
        <v>789</v>
      </c>
      <c r="R22" s="630"/>
      <c r="S22" s="658"/>
    </row>
    <row r="23" spans="2:19" ht="15.95" customHeight="1">
      <c r="B23" s="658"/>
      <c r="C23" s="678" t="s">
        <v>346</v>
      </c>
      <c r="D23" s="285" t="s">
        <v>5</v>
      </c>
      <c r="E23" s="633" t="s">
        <v>355</v>
      </c>
      <c r="F23" s="634"/>
      <c r="G23" s="634"/>
      <c r="H23" s="635"/>
      <c r="I23" s="426" t="s">
        <v>356</v>
      </c>
      <c r="J23" s="426" t="s">
        <v>357</v>
      </c>
      <c r="K23" s="460" t="s">
        <v>358</v>
      </c>
      <c r="L23" s="635"/>
      <c r="M23" s="460" t="s">
        <v>359</v>
      </c>
      <c r="N23" s="635"/>
      <c r="O23" s="460" t="s">
        <v>360</v>
      </c>
      <c r="P23" s="635"/>
      <c r="Q23" s="460" t="s">
        <v>361</v>
      </c>
      <c r="R23" s="635"/>
      <c r="S23" s="658"/>
    </row>
    <row r="24" spans="2:19" ht="15.95" customHeight="1">
      <c r="B24" s="658"/>
      <c r="C24" s="679"/>
      <c r="D24" s="426">
        <v>1</v>
      </c>
      <c r="E24" s="666" t="s">
        <v>791</v>
      </c>
      <c r="F24" s="628"/>
      <c r="G24" s="628"/>
      <c r="H24" s="626"/>
      <c r="I24" s="385">
        <v>44621</v>
      </c>
      <c r="J24" s="385">
        <v>44681</v>
      </c>
      <c r="K24" s="636">
        <v>40</v>
      </c>
      <c r="L24" s="637"/>
      <c r="M24" s="636">
        <v>80</v>
      </c>
      <c r="N24" s="637"/>
      <c r="O24" s="619" t="s">
        <v>774</v>
      </c>
      <c r="P24" s="620"/>
      <c r="Q24" s="625" t="s">
        <v>792</v>
      </c>
      <c r="R24" s="626"/>
      <c r="S24" s="658"/>
    </row>
    <row r="25" spans="2:19" ht="15.95" customHeight="1">
      <c r="B25" s="658"/>
      <c r="C25" s="679"/>
      <c r="D25" s="426">
        <v>2</v>
      </c>
      <c r="E25" s="666" t="s">
        <v>793</v>
      </c>
      <c r="F25" s="628"/>
      <c r="G25" s="628"/>
      <c r="H25" s="626"/>
      <c r="I25" s="385">
        <v>44682</v>
      </c>
      <c r="J25" s="385">
        <v>44711</v>
      </c>
      <c r="K25" s="636">
        <v>40</v>
      </c>
      <c r="L25" s="637"/>
      <c r="M25" s="636">
        <v>40</v>
      </c>
      <c r="N25" s="637"/>
      <c r="O25" s="625" t="s">
        <v>499</v>
      </c>
      <c r="P25" s="626"/>
      <c r="Q25" s="625" t="s">
        <v>794</v>
      </c>
      <c r="R25" s="626"/>
      <c r="S25" s="658"/>
    </row>
    <row r="26" spans="2:19" ht="15.95" customHeight="1">
      <c r="B26" s="658"/>
      <c r="C26" s="679"/>
      <c r="D26" s="426">
        <v>3</v>
      </c>
      <c r="E26" s="666" t="s">
        <v>795</v>
      </c>
      <c r="F26" s="628"/>
      <c r="G26" s="628"/>
      <c r="H26" s="626"/>
      <c r="I26" s="385">
        <v>44713</v>
      </c>
      <c r="J26" s="385">
        <v>44772</v>
      </c>
      <c r="K26" s="636">
        <v>180</v>
      </c>
      <c r="L26" s="637"/>
      <c r="M26" s="636" t="s">
        <v>796</v>
      </c>
      <c r="N26" s="637"/>
      <c r="O26" s="625" t="s">
        <v>797</v>
      </c>
      <c r="P26" s="626"/>
      <c r="Q26" s="625" t="s">
        <v>798</v>
      </c>
      <c r="R26" s="626"/>
      <c r="S26" s="658"/>
    </row>
    <row r="27" spans="2:19" ht="15.95" customHeight="1">
      <c r="B27" s="658"/>
      <c r="C27" s="679"/>
      <c r="D27" s="426">
        <v>4</v>
      </c>
      <c r="E27" s="666" t="s">
        <v>799</v>
      </c>
      <c r="F27" s="628"/>
      <c r="G27" s="628"/>
      <c r="H27" s="626"/>
      <c r="I27" s="385">
        <v>44774</v>
      </c>
      <c r="J27" s="385">
        <v>44803</v>
      </c>
      <c r="K27" s="636">
        <v>40</v>
      </c>
      <c r="L27" s="637"/>
      <c r="M27" s="636">
        <v>40</v>
      </c>
      <c r="N27" s="637"/>
      <c r="O27" s="625" t="s">
        <v>499</v>
      </c>
      <c r="P27" s="626"/>
      <c r="Q27" s="625" t="s">
        <v>504</v>
      </c>
      <c r="R27" s="626"/>
      <c r="S27" s="658"/>
    </row>
    <row r="28" spans="2:19" ht="15.95" customHeight="1">
      <c r="B28" s="658"/>
      <c r="C28" s="679"/>
      <c r="D28" s="426">
        <v>5</v>
      </c>
      <c r="E28" s="666" t="s">
        <v>800</v>
      </c>
      <c r="F28" s="628"/>
      <c r="G28" s="628"/>
      <c r="H28" s="626"/>
      <c r="I28" s="385">
        <v>44805</v>
      </c>
      <c r="J28" s="385">
        <v>44806</v>
      </c>
      <c r="K28" s="636">
        <v>20</v>
      </c>
      <c r="L28" s="637"/>
      <c r="M28" s="636">
        <v>20</v>
      </c>
      <c r="N28" s="637"/>
      <c r="O28" s="625" t="s">
        <v>514</v>
      </c>
      <c r="P28" s="626"/>
      <c r="Q28" s="625" t="s">
        <v>801</v>
      </c>
      <c r="R28" s="626"/>
      <c r="S28" s="658"/>
    </row>
    <row r="29" spans="2:19" ht="20.100000000000001" customHeight="1">
      <c r="B29" s="640" t="s">
        <v>362</v>
      </c>
      <c r="C29" s="655"/>
      <c r="D29" s="656"/>
      <c r="E29" s="656"/>
      <c r="F29" s="656"/>
      <c r="G29" s="656"/>
      <c r="H29" s="656"/>
      <c r="I29" s="656"/>
      <c r="J29" s="656"/>
      <c r="K29" s="656"/>
      <c r="L29" s="656"/>
      <c r="M29" s="656"/>
      <c r="N29" s="656"/>
      <c r="O29" s="656"/>
      <c r="P29" s="656"/>
      <c r="Q29" s="656"/>
      <c r="R29" s="656"/>
      <c r="S29" s="643"/>
    </row>
    <row r="30" spans="2:19" ht="15.95" customHeight="1">
      <c r="B30" s="667"/>
      <c r="C30" s="670" t="s">
        <v>363</v>
      </c>
      <c r="D30" s="426" t="s">
        <v>5</v>
      </c>
      <c r="E30" s="426" t="s">
        <v>364</v>
      </c>
      <c r="F30" s="633" t="s">
        <v>365</v>
      </c>
      <c r="G30" s="634"/>
      <c r="H30" s="634"/>
      <c r="I30" s="610"/>
      <c r="J30" s="610"/>
      <c r="K30" s="611"/>
      <c r="L30" s="460" t="s">
        <v>366</v>
      </c>
      <c r="M30" s="634"/>
      <c r="N30" s="635"/>
      <c r="O30" s="460" t="s">
        <v>367</v>
      </c>
      <c r="P30" s="635"/>
      <c r="Q30" s="426" t="s">
        <v>368</v>
      </c>
      <c r="R30" s="426" t="s">
        <v>291</v>
      </c>
      <c r="S30" s="673"/>
    </row>
    <row r="31" spans="2:19" ht="15.95" customHeight="1">
      <c r="B31" s="668"/>
      <c r="C31" s="671"/>
      <c r="D31" s="426">
        <v>1</v>
      </c>
      <c r="E31" s="289" t="s">
        <v>802</v>
      </c>
      <c r="F31" s="627" t="s">
        <v>803</v>
      </c>
      <c r="G31" s="628"/>
      <c r="H31" s="628"/>
      <c r="I31" s="628"/>
      <c r="J31" s="628"/>
      <c r="K31" s="626"/>
      <c r="L31" s="627" t="s">
        <v>455</v>
      </c>
      <c r="M31" s="628"/>
      <c r="N31" s="626"/>
      <c r="O31" s="625" t="s">
        <v>804</v>
      </c>
      <c r="P31" s="626"/>
      <c r="Q31" s="289" t="s">
        <v>455</v>
      </c>
      <c r="R31" s="289" t="s">
        <v>455</v>
      </c>
      <c r="S31" s="658"/>
    </row>
    <row r="32" spans="2:19" ht="15.95" customHeight="1">
      <c r="B32" s="668"/>
      <c r="C32" s="671"/>
      <c r="D32" s="426">
        <v>2</v>
      </c>
      <c r="E32" s="289" t="s">
        <v>805</v>
      </c>
      <c r="F32" s="627" t="s">
        <v>806</v>
      </c>
      <c r="G32" s="628"/>
      <c r="H32" s="628"/>
      <c r="I32" s="628"/>
      <c r="J32" s="628"/>
      <c r="K32" s="626"/>
      <c r="L32" s="627" t="s">
        <v>455</v>
      </c>
      <c r="M32" s="628"/>
      <c r="N32" s="626"/>
      <c r="O32" s="625" t="s">
        <v>804</v>
      </c>
      <c r="P32" s="626"/>
      <c r="Q32" s="289" t="s">
        <v>455</v>
      </c>
      <c r="R32" s="289" t="s">
        <v>455</v>
      </c>
      <c r="S32" s="658"/>
    </row>
    <row r="33" spans="2:19" ht="15.95" customHeight="1">
      <c r="B33" s="668"/>
      <c r="C33" s="671"/>
      <c r="D33" s="426">
        <v>3</v>
      </c>
      <c r="E33" s="289" t="s">
        <v>807</v>
      </c>
      <c r="F33" s="627" t="s">
        <v>808</v>
      </c>
      <c r="G33" s="628"/>
      <c r="H33" s="628"/>
      <c r="I33" s="628"/>
      <c r="J33" s="628"/>
      <c r="K33" s="626"/>
      <c r="L33" s="627" t="s">
        <v>809</v>
      </c>
      <c r="M33" s="628"/>
      <c r="N33" s="626"/>
      <c r="O33" s="625" t="s">
        <v>810</v>
      </c>
      <c r="P33" s="626"/>
      <c r="Q33" s="289" t="s">
        <v>811</v>
      </c>
      <c r="R33" s="289" t="s">
        <v>812</v>
      </c>
      <c r="S33" s="658"/>
    </row>
    <row r="34" spans="2:19" ht="15.95" customHeight="1">
      <c r="B34" s="668"/>
      <c r="C34" s="671"/>
      <c r="D34" s="426">
        <v>4</v>
      </c>
      <c r="E34" s="289" t="s">
        <v>813</v>
      </c>
      <c r="F34" s="627" t="s">
        <v>814</v>
      </c>
      <c r="G34" s="628"/>
      <c r="H34" s="628"/>
      <c r="I34" s="628"/>
      <c r="J34" s="628"/>
      <c r="K34" s="626"/>
      <c r="L34" s="627" t="s">
        <v>455</v>
      </c>
      <c r="M34" s="628"/>
      <c r="N34" s="626"/>
      <c r="O34" s="625" t="s">
        <v>815</v>
      </c>
      <c r="P34" s="626"/>
      <c r="Q34" s="289" t="s">
        <v>455</v>
      </c>
      <c r="R34" s="289" t="s">
        <v>455</v>
      </c>
      <c r="S34" s="658"/>
    </row>
    <row r="35" spans="2:19" ht="15.95" customHeight="1">
      <c r="B35" s="668"/>
      <c r="C35" s="671"/>
      <c r="D35" s="426">
        <v>5</v>
      </c>
      <c r="E35" s="289" t="s">
        <v>816</v>
      </c>
      <c r="F35" s="627" t="s">
        <v>817</v>
      </c>
      <c r="G35" s="628"/>
      <c r="H35" s="628"/>
      <c r="I35" s="628"/>
      <c r="J35" s="628"/>
      <c r="K35" s="626"/>
      <c r="L35" s="627" t="s">
        <v>818</v>
      </c>
      <c r="M35" s="628"/>
      <c r="N35" s="626"/>
      <c r="O35" s="625" t="s">
        <v>815</v>
      </c>
      <c r="P35" s="626"/>
      <c r="Q35" s="289" t="s">
        <v>819</v>
      </c>
      <c r="R35" s="289" t="s">
        <v>820</v>
      </c>
      <c r="S35" s="658"/>
    </row>
    <row r="36" spans="2:19" ht="15.95" customHeight="1">
      <c r="B36" s="668"/>
      <c r="C36" s="672"/>
      <c r="D36" s="426">
        <v>6</v>
      </c>
      <c r="E36" s="289" t="s">
        <v>821</v>
      </c>
      <c r="F36" s="627" t="s">
        <v>822</v>
      </c>
      <c r="G36" s="628"/>
      <c r="H36" s="628"/>
      <c r="I36" s="628"/>
      <c r="J36" s="628"/>
      <c r="K36" s="626"/>
      <c r="L36" s="627" t="s">
        <v>455</v>
      </c>
      <c r="M36" s="628"/>
      <c r="N36" s="626"/>
      <c r="O36" s="625" t="s">
        <v>804</v>
      </c>
      <c r="P36" s="626"/>
      <c r="Q36" s="289" t="s">
        <v>455</v>
      </c>
      <c r="R36" s="289" t="s">
        <v>455</v>
      </c>
      <c r="S36" s="658"/>
    </row>
    <row r="37" spans="2:19" ht="15.95" customHeight="1">
      <c r="B37" s="658"/>
      <c r="C37" s="674" t="s">
        <v>369</v>
      </c>
      <c r="D37" s="285" t="s">
        <v>5</v>
      </c>
      <c r="E37" s="285" t="s">
        <v>364</v>
      </c>
      <c r="F37" s="675" t="s">
        <v>370</v>
      </c>
      <c r="G37" s="677"/>
      <c r="H37" s="677"/>
      <c r="I37" s="677"/>
      <c r="J37" s="677"/>
      <c r="K37" s="677"/>
      <c r="L37" s="460" t="s">
        <v>371</v>
      </c>
      <c r="M37" s="634"/>
      <c r="N37" s="634"/>
      <c r="O37" s="634"/>
      <c r="P37" s="634"/>
      <c r="Q37" s="634"/>
      <c r="R37" s="635"/>
      <c r="S37" s="658"/>
    </row>
    <row r="38" spans="2:19" ht="15.95" customHeight="1">
      <c r="B38" s="658"/>
      <c r="C38" s="671"/>
      <c r="D38" s="426">
        <v>1</v>
      </c>
      <c r="E38" s="284" t="s">
        <v>823</v>
      </c>
      <c r="F38" s="664" t="s">
        <v>824</v>
      </c>
      <c r="G38" s="606"/>
      <c r="H38" s="606"/>
      <c r="I38" s="606"/>
      <c r="J38" s="606"/>
      <c r="K38" s="529"/>
      <c r="L38" s="665"/>
      <c r="M38" s="606"/>
      <c r="N38" s="606"/>
      <c r="O38" s="606"/>
      <c r="P38" s="606"/>
      <c r="Q38" s="606"/>
      <c r="R38" s="529"/>
      <c r="S38" s="658"/>
    </row>
    <row r="39" spans="2:19" ht="15.95" customHeight="1">
      <c r="B39" s="658"/>
      <c r="C39" s="671"/>
      <c r="D39" s="426">
        <v>2</v>
      </c>
      <c r="E39" s="428" t="s">
        <v>825</v>
      </c>
      <c r="F39" s="664" t="s">
        <v>826</v>
      </c>
      <c r="G39" s="606"/>
      <c r="H39" s="606"/>
      <c r="I39" s="606"/>
      <c r="J39" s="606"/>
      <c r="K39" s="529"/>
      <c r="L39" s="665"/>
      <c r="M39" s="606"/>
      <c r="N39" s="606"/>
      <c r="O39" s="606"/>
      <c r="P39" s="606"/>
      <c r="Q39" s="606"/>
      <c r="R39" s="529"/>
      <c r="S39" s="658"/>
    </row>
    <row r="40" spans="2:19" ht="15.95" customHeight="1">
      <c r="B40" s="658"/>
      <c r="C40" s="671"/>
      <c r="D40" s="426">
        <v>3</v>
      </c>
      <c r="E40" s="428" t="s">
        <v>827</v>
      </c>
      <c r="F40" s="664" t="s">
        <v>828</v>
      </c>
      <c r="G40" s="606"/>
      <c r="H40" s="606"/>
      <c r="I40" s="606"/>
      <c r="J40" s="606"/>
      <c r="K40" s="529"/>
      <c r="L40" s="665"/>
      <c r="M40" s="606"/>
      <c r="N40" s="606"/>
      <c r="O40" s="606"/>
      <c r="P40" s="606"/>
      <c r="Q40" s="606"/>
      <c r="R40" s="529"/>
      <c r="S40" s="658"/>
    </row>
    <row r="41" spans="2:19" ht="15.95" customHeight="1">
      <c r="B41" s="658"/>
      <c r="C41" s="671"/>
      <c r="D41" s="426">
        <v>4</v>
      </c>
      <c r="E41" s="428" t="s">
        <v>829</v>
      </c>
      <c r="F41" s="664" t="s">
        <v>830</v>
      </c>
      <c r="G41" s="606"/>
      <c r="H41" s="606"/>
      <c r="I41" s="606"/>
      <c r="J41" s="606"/>
      <c r="K41" s="529"/>
      <c r="L41" s="665"/>
      <c r="M41" s="606"/>
      <c r="N41" s="606"/>
      <c r="O41" s="606"/>
      <c r="P41" s="606"/>
      <c r="Q41" s="606"/>
      <c r="R41" s="529"/>
      <c r="S41" s="658"/>
    </row>
    <row r="42" spans="2:19" ht="15.95" customHeight="1">
      <c r="B42" s="669"/>
      <c r="C42" s="672"/>
      <c r="D42" s="426">
        <v>5</v>
      </c>
      <c r="E42" s="428" t="s">
        <v>831</v>
      </c>
      <c r="F42" s="664"/>
      <c r="G42" s="606"/>
      <c r="H42" s="606"/>
      <c r="I42" s="606"/>
      <c r="J42" s="606"/>
      <c r="K42" s="529"/>
      <c r="L42" s="665"/>
      <c r="M42" s="606"/>
      <c r="N42" s="606"/>
      <c r="O42" s="606"/>
      <c r="P42" s="606"/>
      <c r="Q42" s="606"/>
      <c r="R42" s="529"/>
      <c r="S42" s="669"/>
    </row>
  </sheetData>
  <mergeCells count="120">
    <mergeCell ref="L36:N36"/>
    <mergeCell ref="O36:P36"/>
    <mergeCell ref="L32:N32"/>
    <mergeCell ref="O32:P32"/>
    <mergeCell ref="F33:K33"/>
    <mergeCell ref="L33:N33"/>
    <mergeCell ref="O33:P33"/>
    <mergeCell ref="F34:K34"/>
    <mergeCell ref="L34:N34"/>
    <mergeCell ref="O34:P34"/>
    <mergeCell ref="E6:I6"/>
    <mergeCell ref="O16:P16"/>
    <mergeCell ref="M16:N16"/>
    <mergeCell ref="J16:L16"/>
    <mergeCell ref="J17:L17"/>
    <mergeCell ref="M17:N17"/>
    <mergeCell ref="O17:P17"/>
    <mergeCell ref="F35:K35"/>
    <mergeCell ref="L35:N35"/>
    <mergeCell ref="O35:P35"/>
    <mergeCell ref="J18:L18"/>
    <mergeCell ref="M18:N18"/>
    <mergeCell ref="O18:P18"/>
    <mergeCell ref="J19:L19"/>
    <mergeCell ref="M19:N19"/>
    <mergeCell ref="O19:P19"/>
    <mergeCell ref="B29:S29"/>
    <mergeCell ref="E26:H26"/>
    <mergeCell ref="K26:L26"/>
    <mergeCell ref="M26:N26"/>
    <mergeCell ref="O26:P26"/>
    <mergeCell ref="Q26:R26"/>
    <mergeCell ref="E27:H27"/>
    <mergeCell ref="K27:L27"/>
    <mergeCell ref="B30:B42"/>
    <mergeCell ref="C30:C36"/>
    <mergeCell ref="F30:K30"/>
    <mergeCell ref="L30:N30"/>
    <mergeCell ref="O30:P30"/>
    <mergeCell ref="S30:S42"/>
    <mergeCell ref="F31:K31"/>
    <mergeCell ref="L31:N31"/>
    <mergeCell ref="O31:P31"/>
    <mergeCell ref="F32:K32"/>
    <mergeCell ref="C37:C42"/>
    <mergeCell ref="F37:K37"/>
    <mergeCell ref="L37:R37"/>
    <mergeCell ref="F38:K38"/>
    <mergeCell ref="L38:R38"/>
    <mergeCell ref="F39:K39"/>
    <mergeCell ref="L39:R39"/>
    <mergeCell ref="F40:K40"/>
    <mergeCell ref="L40:R40"/>
    <mergeCell ref="F41:K41"/>
    <mergeCell ref="L41:R41"/>
    <mergeCell ref="F42:K42"/>
    <mergeCell ref="L42:R42"/>
    <mergeCell ref="F36:K36"/>
    <mergeCell ref="S16:S28"/>
    <mergeCell ref="F17:G17"/>
    <mergeCell ref="H17:I17"/>
    <mergeCell ref="Q16:R16"/>
    <mergeCell ref="Q17:R17"/>
    <mergeCell ref="Q18:R18"/>
    <mergeCell ref="Q19:R19"/>
    <mergeCell ref="Q22:R22"/>
    <mergeCell ref="F21:G21"/>
    <mergeCell ref="H21:I21"/>
    <mergeCell ref="J21:L21"/>
    <mergeCell ref="M21:N21"/>
    <mergeCell ref="O21:P21"/>
    <mergeCell ref="Q21:R21"/>
    <mergeCell ref="C23:C28"/>
    <mergeCell ref="E23:H23"/>
    <mergeCell ref="K23:L23"/>
    <mergeCell ref="M23:N23"/>
    <mergeCell ref="O23:P23"/>
    <mergeCell ref="Q23:R23"/>
    <mergeCell ref="E24:H24"/>
    <mergeCell ref="K24:L24"/>
    <mergeCell ref="M24:N24"/>
    <mergeCell ref="O24:P24"/>
    <mergeCell ref="E28:H28"/>
    <mergeCell ref="K28:L28"/>
    <mergeCell ref="M28:N28"/>
    <mergeCell ref="O28:P28"/>
    <mergeCell ref="Q28:R28"/>
    <mergeCell ref="Q24:R24"/>
    <mergeCell ref="E25:H25"/>
    <mergeCell ref="K25:L25"/>
    <mergeCell ref="M25:N25"/>
    <mergeCell ref="O25:P25"/>
    <mergeCell ref="Q25:R25"/>
    <mergeCell ref="M27:N27"/>
    <mergeCell ref="O27:P27"/>
    <mergeCell ref="Q27:R27"/>
    <mergeCell ref="B4:S4"/>
    <mergeCell ref="L6:O6"/>
    <mergeCell ref="B8:S8"/>
    <mergeCell ref="C9:R13"/>
    <mergeCell ref="B15:S15"/>
    <mergeCell ref="B16:B28"/>
    <mergeCell ref="C16:C22"/>
    <mergeCell ref="F16:G16"/>
    <mergeCell ref="H16:I16"/>
    <mergeCell ref="F20:G20"/>
    <mergeCell ref="H20:I20"/>
    <mergeCell ref="J20:L20"/>
    <mergeCell ref="M20:N20"/>
    <mergeCell ref="O20:P20"/>
    <mergeCell ref="Q20:R20"/>
    <mergeCell ref="F19:G19"/>
    <mergeCell ref="H19:I19"/>
    <mergeCell ref="F18:G18"/>
    <mergeCell ref="H18:I18"/>
    <mergeCell ref="F22:G22"/>
    <mergeCell ref="H22:I22"/>
    <mergeCell ref="J22:L22"/>
    <mergeCell ref="M22:N22"/>
    <mergeCell ref="O22:P22"/>
  </mergeCells>
  <pageMargins left="0.7" right="0.7" top="0.78740157499999996" bottom="0.78740157499999996" header="0.3" footer="0.3"/>
  <pageSetup paperSize="9" orientation="portrait" horizontalDpi="1200" verticalDpi="1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327C-8A08-4CCD-8C11-12B4A551930A}">
  <dimension ref="A1:S30"/>
  <sheetViews>
    <sheetView showGridLines="0" showRowColHeaders="0" zoomScale="80" zoomScaleNormal="80" workbookViewId="0"/>
  </sheetViews>
  <sheetFormatPr defaultColWidth="10.85546875" defaultRowHeight="14.25"/>
  <cols>
    <col min="1" max="1" width="1" style="1" customWidth="1"/>
    <col min="2" max="2" width="1.85546875" style="1" customWidth="1"/>
    <col min="3" max="3" width="6.5703125" style="1" customWidth="1"/>
    <col min="4" max="4" width="8.85546875" style="1" customWidth="1"/>
    <col min="5" max="5" width="16.5703125" style="1" customWidth="1"/>
    <col min="6" max="6" width="12.5703125" style="1" customWidth="1"/>
    <col min="7" max="9" width="11.5703125" style="1" customWidth="1"/>
    <col min="10" max="11" width="12.5703125" style="1" customWidth="1"/>
    <col min="12" max="18" width="11.5703125" style="1" customWidth="1"/>
    <col min="19" max="19" width="1.5703125" style="1" customWidth="1"/>
    <col min="20" max="16384" width="10.85546875" style="8"/>
  </cols>
  <sheetData>
    <row r="1" spans="1:19" ht="6" customHeight="1"/>
    <row r="2" spans="1:19" ht="18">
      <c r="B2" s="421" t="s">
        <v>832</v>
      </c>
      <c r="F2" s="3"/>
      <c r="G2" s="3"/>
      <c r="H2" s="3"/>
      <c r="I2" s="3"/>
      <c r="J2" s="3"/>
      <c r="K2" s="3"/>
      <c r="L2" s="3"/>
      <c r="M2" s="3"/>
      <c r="N2" s="3"/>
      <c r="O2" s="3"/>
      <c r="P2" s="3"/>
      <c r="Q2" s="3"/>
      <c r="R2" s="3"/>
      <c r="S2" s="3"/>
    </row>
    <row r="3" spans="1:19" ht="6" customHeight="1">
      <c r="A3" s="422"/>
      <c r="B3" s="422"/>
      <c r="C3" s="422"/>
      <c r="D3" s="422"/>
      <c r="E3" s="422"/>
      <c r="F3" s="422"/>
      <c r="G3" s="422"/>
      <c r="H3" s="422"/>
      <c r="I3" s="422"/>
      <c r="J3" s="422"/>
      <c r="K3" s="422"/>
      <c r="L3" s="422"/>
      <c r="M3" s="422"/>
      <c r="N3" s="422"/>
      <c r="O3" s="422"/>
      <c r="P3" s="422"/>
      <c r="Q3" s="422"/>
      <c r="R3" s="422"/>
      <c r="S3" s="422"/>
    </row>
    <row r="4" spans="1:19" ht="20.45" customHeight="1">
      <c r="A4" s="422"/>
      <c r="B4" s="516" t="s">
        <v>373</v>
      </c>
      <c r="C4" s="517"/>
      <c r="D4" s="517"/>
      <c r="E4" s="517"/>
      <c r="F4" s="517"/>
      <c r="G4" s="517"/>
      <c r="H4" s="517"/>
      <c r="I4" s="517"/>
      <c r="J4" s="517"/>
      <c r="K4" s="517"/>
      <c r="L4" s="517"/>
      <c r="M4" s="517"/>
      <c r="N4" s="517"/>
      <c r="O4" s="517"/>
      <c r="P4" s="517"/>
      <c r="Q4" s="517"/>
      <c r="R4" s="517"/>
      <c r="S4" s="518"/>
    </row>
    <row r="5" spans="1:19" ht="8.1" customHeight="1">
      <c r="B5" s="12"/>
      <c r="C5" s="13"/>
      <c r="D5" s="13"/>
      <c r="E5" s="13"/>
      <c r="F5" s="13"/>
      <c r="G5" s="13"/>
      <c r="H5" s="13"/>
      <c r="I5" s="13"/>
      <c r="J5" s="13"/>
      <c r="K5" s="13"/>
      <c r="L5" s="13"/>
      <c r="M5" s="13"/>
      <c r="N5" s="13"/>
      <c r="O5" s="13"/>
      <c r="P5" s="13"/>
      <c r="Q5" s="13"/>
      <c r="R5" s="13"/>
      <c r="S5" s="15"/>
    </row>
    <row r="6" spans="1:19" ht="18" customHeight="1">
      <c r="A6" s="422"/>
      <c r="B6" s="530" t="s">
        <v>343</v>
      </c>
      <c r="C6" s="533"/>
      <c r="D6" s="533"/>
      <c r="E6" s="662" t="s">
        <v>833</v>
      </c>
      <c r="F6" s="663"/>
      <c r="G6" s="663"/>
      <c r="H6" s="663"/>
      <c r="I6" s="419" t="s">
        <v>374</v>
      </c>
      <c r="J6" s="662" t="s">
        <v>496</v>
      </c>
      <c r="K6" s="663"/>
      <c r="L6" s="663"/>
      <c r="M6" s="419" t="s">
        <v>375</v>
      </c>
      <c r="N6" s="680" t="s">
        <v>788</v>
      </c>
      <c r="O6" s="680"/>
      <c r="P6" s="680"/>
      <c r="Q6" s="419" t="s">
        <v>376</v>
      </c>
      <c r="R6" s="314">
        <v>44907</v>
      </c>
      <c r="S6" s="290"/>
    </row>
    <row r="7" spans="1:19" ht="6" customHeight="1">
      <c r="B7" s="19"/>
      <c r="C7" s="20"/>
      <c r="D7" s="20"/>
      <c r="E7" s="20"/>
      <c r="F7" s="20"/>
      <c r="G7" s="20"/>
      <c r="H7" s="20"/>
      <c r="I7" s="20"/>
      <c r="J7" s="20"/>
      <c r="K7" s="20"/>
      <c r="L7" s="20"/>
      <c r="M7" s="20"/>
      <c r="N7" s="20"/>
      <c r="O7" s="20"/>
      <c r="P7" s="20"/>
      <c r="Q7" s="20"/>
      <c r="R7" s="20"/>
      <c r="S7" s="22"/>
    </row>
    <row r="8" spans="1:19" ht="20.100000000000001" customHeight="1">
      <c r="B8" s="640" t="s">
        <v>377</v>
      </c>
      <c r="C8" s="656"/>
      <c r="D8" s="656"/>
      <c r="E8" s="656"/>
      <c r="F8" s="656"/>
      <c r="G8" s="656"/>
      <c r="H8" s="656"/>
      <c r="I8" s="656"/>
      <c r="J8" s="656"/>
      <c r="K8" s="656"/>
      <c r="L8" s="656"/>
      <c r="M8" s="656"/>
      <c r="N8" s="656"/>
      <c r="O8" s="656"/>
      <c r="P8" s="656"/>
      <c r="Q8" s="656"/>
      <c r="R8" s="656"/>
      <c r="S8" s="643"/>
    </row>
    <row r="9" spans="1:19" ht="14.1" customHeight="1">
      <c r="B9" s="657" t="s">
        <v>346</v>
      </c>
      <c r="C9" s="687" t="s">
        <v>5</v>
      </c>
      <c r="D9" s="697" t="s">
        <v>378</v>
      </c>
      <c r="E9" s="453"/>
      <c r="F9" s="703" t="s">
        <v>218</v>
      </c>
      <c r="G9" s="704"/>
      <c r="H9" s="704"/>
      <c r="I9" s="598"/>
      <c r="J9" s="697" t="s">
        <v>379</v>
      </c>
      <c r="K9" s="453"/>
      <c r="L9" s="697" t="s">
        <v>380</v>
      </c>
      <c r="M9" s="453"/>
      <c r="N9" s="460" t="s">
        <v>381</v>
      </c>
      <c r="O9" s="611"/>
      <c r="P9" s="460" t="s">
        <v>382</v>
      </c>
      <c r="Q9" s="610"/>
      <c r="R9" s="611"/>
      <c r="S9" s="676"/>
    </row>
    <row r="10" spans="1:19" ht="14.1" customHeight="1">
      <c r="B10" s="657"/>
      <c r="C10" s="527"/>
      <c r="D10" s="601"/>
      <c r="E10" s="602"/>
      <c r="F10" s="601"/>
      <c r="G10" s="705"/>
      <c r="H10" s="705"/>
      <c r="I10" s="602"/>
      <c r="J10" s="698" t="s">
        <v>383</v>
      </c>
      <c r="K10" s="602"/>
      <c r="L10" s="698" t="s">
        <v>384</v>
      </c>
      <c r="M10" s="602"/>
      <c r="N10" s="425" t="s">
        <v>385</v>
      </c>
      <c r="O10" s="425" t="s">
        <v>386</v>
      </c>
      <c r="P10" s="10" t="s">
        <v>387</v>
      </c>
      <c r="Q10" s="10" t="s">
        <v>388</v>
      </c>
      <c r="R10" s="10" t="s">
        <v>389</v>
      </c>
      <c r="S10" s="676"/>
    </row>
    <row r="11" spans="1:19" ht="15.95" customHeight="1">
      <c r="B11" s="658"/>
      <c r="C11" s="426">
        <v>1</v>
      </c>
      <c r="D11" s="694" t="s">
        <v>834</v>
      </c>
      <c r="E11" s="695"/>
      <c r="F11" s="605" t="s">
        <v>835</v>
      </c>
      <c r="G11" s="701"/>
      <c r="H11" s="701"/>
      <c r="I11" s="702"/>
      <c r="J11" s="694" t="s">
        <v>836</v>
      </c>
      <c r="K11" s="695"/>
      <c r="L11" s="694" t="s">
        <v>837</v>
      </c>
      <c r="M11" s="695"/>
      <c r="N11" s="315">
        <v>44896</v>
      </c>
      <c r="O11" s="316">
        <v>44917</v>
      </c>
      <c r="P11" s="313"/>
      <c r="Q11" s="120" t="s">
        <v>578</v>
      </c>
      <c r="R11" s="120"/>
      <c r="S11" s="658"/>
    </row>
    <row r="12" spans="1:19" ht="15.95" customHeight="1">
      <c r="B12" s="658"/>
      <c r="C12" s="426">
        <v>2</v>
      </c>
      <c r="D12" s="689" t="s">
        <v>838</v>
      </c>
      <c r="E12" s="690"/>
      <c r="F12" s="605" t="s">
        <v>839</v>
      </c>
      <c r="G12" s="701"/>
      <c r="H12" s="701"/>
      <c r="I12" s="702"/>
      <c r="J12" s="689" t="s">
        <v>840</v>
      </c>
      <c r="K12" s="690"/>
      <c r="L12" s="689" t="s">
        <v>796</v>
      </c>
      <c r="M12" s="690"/>
      <c r="N12" s="315">
        <v>44931</v>
      </c>
      <c r="O12" s="316">
        <v>44972</v>
      </c>
      <c r="P12" s="120" t="s">
        <v>578</v>
      </c>
      <c r="Q12" s="120"/>
      <c r="R12" s="120"/>
      <c r="S12" s="658"/>
    </row>
    <row r="13" spans="1:19" ht="15.95" customHeight="1">
      <c r="B13" s="658"/>
      <c r="C13" s="426">
        <v>3</v>
      </c>
      <c r="D13" s="689" t="s">
        <v>841</v>
      </c>
      <c r="E13" s="690"/>
      <c r="F13" s="605" t="s">
        <v>842</v>
      </c>
      <c r="G13" s="701"/>
      <c r="H13" s="701"/>
      <c r="I13" s="702"/>
      <c r="J13" s="689" t="s">
        <v>775</v>
      </c>
      <c r="K13" s="690"/>
      <c r="L13" s="689" t="s">
        <v>780</v>
      </c>
      <c r="M13" s="690"/>
      <c r="N13" s="315">
        <v>44958</v>
      </c>
      <c r="O13" s="316">
        <v>44985</v>
      </c>
      <c r="P13" s="120" t="s">
        <v>578</v>
      </c>
      <c r="Q13" s="120"/>
      <c r="R13" s="120"/>
      <c r="S13" s="658"/>
    </row>
    <row r="14" spans="1:19" ht="15.95" customHeight="1">
      <c r="B14" s="658"/>
      <c r="C14" s="426">
        <v>4</v>
      </c>
      <c r="D14" s="689" t="s">
        <v>843</v>
      </c>
      <c r="E14" s="690"/>
      <c r="F14" s="605" t="s">
        <v>844</v>
      </c>
      <c r="G14" s="701"/>
      <c r="H14" s="701"/>
      <c r="I14" s="702"/>
      <c r="J14" s="689" t="s">
        <v>845</v>
      </c>
      <c r="K14" s="690"/>
      <c r="L14" s="689" t="s">
        <v>846</v>
      </c>
      <c r="M14" s="690"/>
      <c r="N14" s="315">
        <v>44986</v>
      </c>
      <c r="O14" s="316">
        <v>45016</v>
      </c>
      <c r="P14" s="120" t="s">
        <v>578</v>
      </c>
      <c r="Q14" s="120"/>
      <c r="R14" s="120"/>
      <c r="S14" s="658"/>
    </row>
    <row r="15" spans="1:19" ht="15.95" customHeight="1">
      <c r="B15" s="658"/>
      <c r="C15" s="426">
        <v>5</v>
      </c>
      <c r="D15" s="689" t="s">
        <v>847</v>
      </c>
      <c r="E15" s="690"/>
      <c r="F15" s="605" t="s">
        <v>848</v>
      </c>
      <c r="G15" s="701"/>
      <c r="H15" s="701"/>
      <c r="I15" s="702"/>
      <c r="J15" s="689" t="s">
        <v>840</v>
      </c>
      <c r="K15" s="690"/>
      <c r="L15" s="689" t="s">
        <v>796</v>
      </c>
      <c r="M15" s="690"/>
      <c r="N15" s="315">
        <v>45017</v>
      </c>
      <c r="O15" s="316">
        <v>45107</v>
      </c>
      <c r="P15" s="120" t="s">
        <v>578</v>
      </c>
      <c r="Q15" s="120"/>
      <c r="R15" s="120"/>
      <c r="S15" s="658"/>
    </row>
    <row r="16" spans="1:19" ht="15.95" customHeight="1">
      <c r="B16" s="658"/>
      <c r="C16" s="426">
        <v>6</v>
      </c>
      <c r="D16" s="689" t="s">
        <v>849</v>
      </c>
      <c r="E16" s="690"/>
      <c r="F16" s="605" t="s">
        <v>850</v>
      </c>
      <c r="G16" s="701"/>
      <c r="H16" s="701"/>
      <c r="I16" s="702"/>
      <c r="J16" s="689" t="s">
        <v>851</v>
      </c>
      <c r="K16" s="690"/>
      <c r="L16" s="689" t="s">
        <v>846</v>
      </c>
      <c r="M16" s="690"/>
      <c r="N16" s="315">
        <v>45108</v>
      </c>
      <c r="O16" s="316">
        <v>45137</v>
      </c>
      <c r="P16" s="120" t="s">
        <v>578</v>
      </c>
      <c r="Q16" s="120"/>
      <c r="R16" s="120"/>
      <c r="S16" s="658"/>
    </row>
    <row r="17" spans="2:19" ht="15.95" customHeight="1">
      <c r="B17" s="658"/>
      <c r="C17" s="426">
        <v>7</v>
      </c>
      <c r="D17" s="689" t="s">
        <v>852</v>
      </c>
      <c r="E17" s="690"/>
      <c r="F17" s="605" t="s">
        <v>853</v>
      </c>
      <c r="G17" s="701"/>
      <c r="H17" s="701"/>
      <c r="I17" s="702"/>
      <c r="J17" s="689" t="s">
        <v>851</v>
      </c>
      <c r="K17" s="690"/>
      <c r="L17" s="689" t="s">
        <v>846</v>
      </c>
      <c r="M17" s="690"/>
      <c r="N17" s="315">
        <v>45139</v>
      </c>
      <c r="O17" s="316">
        <v>45168</v>
      </c>
      <c r="P17" s="120" t="s">
        <v>578</v>
      </c>
      <c r="Q17" s="120"/>
      <c r="R17" s="120"/>
      <c r="S17" s="658"/>
    </row>
    <row r="18" spans="2:19" ht="9.9499999999999993" customHeight="1">
      <c r="B18" s="696"/>
      <c r="C18" s="306"/>
      <c r="D18" s="307"/>
      <c r="E18" s="691"/>
      <c r="F18" s="692"/>
      <c r="G18" s="691"/>
      <c r="H18" s="691"/>
      <c r="I18" s="692"/>
      <c r="J18" s="691"/>
      <c r="K18" s="692"/>
      <c r="L18" s="691"/>
      <c r="M18" s="692"/>
      <c r="N18" s="691"/>
      <c r="O18" s="692"/>
      <c r="P18" s="699"/>
      <c r="Q18" s="700"/>
      <c r="R18" s="700"/>
      <c r="S18" s="693"/>
    </row>
    <row r="19" spans="2:19" ht="20.100000000000001" customHeight="1">
      <c r="B19" s="640" t="s">
        <v>390</v>
      </c>
      <c r="C19" s="642"/>
      <c r="D19" s="642"/>
      <c r="E19" s="642"/>
      <c r="F19" s="642"/>
      <c r="G19" s="642"/>
      <c r="H19" s="642"/>
      <c r="I19" s="642"/>
      <c r="J19" s="642"/>
      <c r="K19" s="642"/>
      <c r="L19" s="642"/>
      <c r="M19" s="642"/>
      <c r="N19" s="642"/>
      <c r="O19" s="642"/>
      <c r="P19" s="642"/>
      <c r="Q19" s="642"/>
      <c r="R19" s="642"/>
      <c r="S19" s="643"/>
    </row>
    <row r="20" spans="2:19" ht="14.1" customHeight="1">
      <c r="B20" s="308"/>
      <c r="C20" s="687" t="s">
        <v>391</v>
      </c>
      <c r="D20" s="687"/>
      <c r="E20" s="687"/>
      <c r="F20" s="687"/>
      <c r="G20" s="687" t="s">
        <v>392</v>
      </c>
      <c r="H20" s="687"/>
      <c r="I20" s="687"/>
      <c r="J20" s="687"/>
      <c r="K20" s="687" t="s">
        <v>393</v>
      </c>
      <c r="L20" s="687"/>
      <c r="M20" s="687"/>
      <c r="N20" s="687"/>
      <c r="O20" s="687" t="s">
        <v>394</v>
      </c>
      <c r="P20" s="687"/>
      <c r="Q20" s="687"/>
      <c r="R20" s="687"/>
      <c r="S20" s="310"/>
    </row>
    <row r="21" spans="2:19" ht="14.1" customHeight="1">
      <c r="B21" s="308"/>
      <c r="C21" s="688" t="s">
        <v>395</v>
      </c>
      <c r="D21" s="688"/>
      <c r="E21" s="688"/>
      <c r="F21" s="688"/>
      <c r="G21" s="688" t="s">
        <v>396</v>
      </c>
      <c r="H21" s="688"/>
      <c r="I21" s="688"/>
      <c r="J21" s="688"/>
      <c r="K21" s="688" t="s">
        <v>397</v>
      </c>
      <c r="L21" s="688"/>
      <c r="M21" s="688"/>
      <c r="N21" s="688"/>
      <c r="O21" s="688" t="s">
        <v>398</v>
      </c>
      <c r="P21" s="688"/>
      <c r="Q21" s="688"/>
      <c r="R21" s="688"/>
      <c r="S21" s="310"/>
    </row>
    <row r="22" spans="2:19" ht="20.100000000000001" customHeight="1">
      <c r="B22" s="308"/>
      <c r="C22" s="823"/>
      <c r="D22" s="712"/>
      <c r="E22" s="712"/>
      <c r="F22" s="824"/>
      <c r="G22" s="823"/>
      <c r="H22" s="712"/>
      <c r="I22" s="712"/>
      <c r="J22" s="824"/>
      <c r="K22" s="823"/>
      <c r="L22" s="712"/>
      <c r="M22" s="712"/>
      <c r="N22" s="824"/>
      <c r="O22" s="823"/>
      <c r="P22" s="712"/>
      <c r="Q22" s="712"/>
      <c r="R22" s="824"/>
      <c r="S22" s="310"/>
    </row>
    <row r="23" spans="2:19" ht="20.100000000000001" customHeight="1">
      <c r="B23" s="308"/>
      <c r="C23" s="821"/>
      <c r="D23" s="455"/>
      <c r="E23" s="455"/>
      <c r="F23" s="822"/>
      <c r="G23" s="821"/>
      <c r="H23" s="455"/>
      <c r="I23" s="455"/>
      <c r="J23" s="822"/>
      <c r="K23" s="821"/>
      <c r="L23" s="455"/>
      <c r="M23" s="455"/>
      <c r="N23" s="822"/>
      <c r="O23" s="821"/>
      <c r="P23" s="455"/>
      <c r="Q23" s="455"/>
      <c r="R23" s="822"/>
      <c r="S23" s="310"/>
    </row>
    <row r="24" spans="2:19" ht="20.100000000000001" customHeight="1">
      <c r="B24" s="308"/>
      <c r="C24" s="821"/>
      <c r="D24" s="455"/>
      <c r="E24" s="455"/>
      <c r="F24" s="822"/>
      <c r="G24" s="821"/>
      <c r="H24" s="455"/>
      <c r="I24" s="455"/>
      <c r="J24" s="822"/>
      <c r="K24" s="821"/>
      <c r="L24" s="455"/>
      <c r="M24" s="455"/>
      <c r="N24" s="822"/>
      <c r="O24" s="821"/>
      <c r="P24" s="455"/>
      <c r="Q24" s="455"/>
      <c r="R24" s="822"/>
      <c r="S24" s="310"/>
    </row>
    <row r="25" spans="2:19" ht="20.100000000000001" customHeight="1">
      <c r="B25" s="308"/>
      <c r="C25" s="448"/>
      <c r="D25" s="411"/>
      <c r="E25" s="411"/>
      <c r="F25" s="449"/>
      <c r="G25" s="448"/>
      <c r="H25" s="411"/>
      <c r="I25" s="411"/>
      <c r="J25" s="449"/>
      <c r="K25" s="448"/>
      <c r="L25" s="411"/>
      <c r="M25" s="411"/>
      <c r="N25" s="449"/>
      <c r="O25" s="448"/>
      <c r="P25" s="411"/>
      <c r="Q25" s="411"/>
      <c r="R25" s="449"/>
      <c r="S25" s="310"/>
    </row>
    <row r="26" spans="2:19" ht="20.100000000000001" customHeight="1">
      <c r="B26" s="308"/>
      <c r="C26" s="821"/>
      <c r="D26" s="455"/>
      <c r="E26" s="455"/>
      <c r="F26" s="822"/>
      <c r="G26" s="821"/>
      <c r="H26" s="455"/>
      <c r="I26" s="455"/>
      <c r="J26" s="822"/>
      <c r="K26" s="821"/>
      <c r="L26" s="455"/>
      <c r="M26" s="455"/>
      <c r="N26" s="822"/>
      <c r="O26" s="821"/>
      <c r="P26" s="455"/>
      <c r="Q26" s="455"/>
      <c r="R26" s="822"/>
      <c r="S26" s="310"/>
    </row>
    <row r="27" spans="2:19" ht="20.100000000000001" customHeight="1">
      <c r="B27" s="308"/>
      <c r="C27" s="821"/>
      <c r="D27" s="455"/>
      <c r="E27" s="455"/>
      <c r="F27" s="822"/>
      <c r="G27" s="821"/>
      <c r="H27" s="455"/>
      <c r="I27" s="455"/>
      <c r="J27" s="822"/>
      <c r="K27" s="821"/>
      <c r="L27" s="455"/>
      <c r="M27" s="455"/>
      <c r="N27" s="822"/>
      <c r="O27" s="821"/>
      <c r="P27" s="455"/>
      <c r="Q27" s="455"/>
      <c r="R27" s="822"/>
      <c r="S27" s="310"/>
    </row>
    <row r="28" spans="2:19" ht="20.100000000000001" customHeight="1">
      <c r="B28" s="308"/>
      <c r="C28" s="821"/>
      <c r="D28" s="455"/>
      <c r="E28" s="455"/>
      <c r="F28" s="822"/>
      <c r="G28" s="821"/>
      <c r="H28" s="455"/>
      <c r="I28" s="455"/>
      <c r="J28" s="822"/>
      <c r="K28" s="821"/>
      <c r="L28" s="455"/>
      <c r="M28" s="455"/>
      <c r="N28" s="822"/>
      <c r="O28" s="821"/>
      <c r="P28" s="455"/>
      <c r="Q28" s="455"/>
      <c r="R28" s="822"/>
      <c r="S28" s="310"/>
    </row>
    <row r="29" spans="2:19" ht="20.100000000000001" customHeight="1">
      <c r="B29" s="308"/>
      <c r="C29" s="821"/>
      <c r="D29" s="455"/>
      <c r="E29" s="455"/>
      <c r="F29" s="822"/>
      <c r="G29" s="821"/>
      <c r="H29" s="455"/>
      <c r="I29" s="455"/>
      <c r="J29" s="822"/>
      <c r="K29" s="821"/>
      <c r="L29" s="455"/>
      <c r="M29" s="455"/>
      <c r="N29" s="822"/>
      <c r="O29" s="821"/>
      <c r="P29" s="455"/>
      <c r="Q29" s="455"/>
      <c r="R29" s="822"/>
      <c r="S29" s="310"/>
    </row>
    <row r="30" spans="2:19" ht="9.9499999999999993" customHeight="1">
      <c r="B30" s="311"/>
      <c r="C30" s="309"/>
      <c r="D30" s="309"/>
      <c r="E30" s="309"/>
      <c r="F30" s="309"/>
      <c r="G30" s="309"/>
      <c r="H30" s="309"/>
      <c r="I30" s="309"/>
      <c r="J30" s="309"/>
      <c r="K30" s="309"/>
      <c r="L30" s="309"/>
      <c r="M30" s="309"/>
      <c r="N30" s="309"/>
      <c r="O30" s="309"/>
      <c r="P30" s="309"/>
      <c r="Q30" s="309"/>
      <c r="R30" s="309"/>
      <c r="S30" s="312"/>
    </row>
  </sheetData>
  <mergeCells count="88">
    <mergeCell ref="D15:E15"/>
    <mergeCell ref="F15:I15"/>
    <mergeCell ref="J15:K15"/>
    <mergeCell ref="D12:E12"/>
    <mergeCell ref="F12:I12"/>
    <mergeCell ref="D13:E13"/>
    <mergeCell ref="F13:I13"/>
    <mergeCell ref="D14:E14"/>
    <mergeCell ref="F14:I14"/>
    <mergeCell ref="B4:S4"/>
    <mergeCell ref="E6:H6"/>
    <mergeCell ref="J6:L6"/>
    <mergeCell ref="N6:P6"/>
    <mergeCell ref="B8:S8"/>
    <mergeCell ref="B6:D6"/>
    <mergeCell ref="L9:M9"/>
    <mergeCell ref="N9:O9"/>
    <mergeCell ref="P9:R9"/>
    <mergeCell ref="S9:S18"/>
    <mergeCell ref="J10:K10"/>
    <mergeCell ref="L10:M10"/>
    <mergeCell ref="N18:O18"/>
    <mergeCell ref="P18:R18"/>
    <mergeCell ref="J11:K11"/>
    <mergeCell ref="L11:M11"/>
    <mergeCell ref="J12:K12"/>
    <mergeCell ref="L12:M12"/>
    <mergeCell ref="J13:K13"/>
    <mergeCell ref="L13:M13"/>
    <mergeCell ref="J14:K14"/>
    <mergeCell ref="L14:M14"/>
    <mergeCell ref="B19:S19"/>
    <mergeCell ref="C20:F20"/>
    <mergeCell ref="G20:J20"/>
    <mergeCell ref="K20:N20"/>
    <mergeCell ref="L15:M15"/>
    <mergeCell ref="D16:E16"/>
    <mergeCell ref="F16:I16"/>
    <mergeCell ref="J16:K16"/>
    <mergeCell ref="L16:M16"/>
    <mergeCell ref="B9:B18"/>
    <mergeCell ref="C9:C10"/>
    <mergeCell ref="D9:E10"/>
    <mergeCell ref="F9:I10"/>
    <mergeCell ref="J9:K9"/>
    <mergeCell ref="D11:E11"/>
    <mergeCell ref="F11:I11"/>
    <mergeCell ref="D17:E17"/>
    <mergeCell ref="F17:I17"/>
    <mergeCell ref="J17:K17"/>
    <mergeCell ref="L17:M17"/>
    <mergeCell ref="E18:F18"/>
    <mergeCell ref="G18:I18"/>
    <mergeCell ref="J18:K18"/>
    <mergeCell ref="L18:M18"/>
    <mergeCell ref="O20:R20"/>
    <mergeCell ref="C22:F22"/>
    <mergeCell ref="G22:J22"/>
    <mergeCell ref="K22:N22"/>
    <mergeCell ref="O22:R22"/>
    <mergeCell ref="C21:F21"/>
    <mergeCell ref="G21:J21"/>
    <mergeCell ref="K21:N21"/>
    <mergeCell ref="O21:R21"/>
    <mergeCell ref="C23:F23"/>
    <mergeCell ref="G23:J23"/>
    <mergeCell ref="K23:N23"/>
    <mergeCell ref="O23:R23"/>
    <mergeCell ref="C24:F24"/>
    <mergeCell ref="G24:J24"/>
    <mergeCell ref="K24:N24"/>
    <mergeCell ref="O24:R24"/>
    <mergeCell ref="C26:F26"/>
    <mergeCell ref="G26:J26"/>
    <mergeCell ref="K26:N26"/>
    <mergeCell ref="O26:R26"/>
    <mergeCell ref="C29:F29"/>
    <mergeCell ref="G29:J29"/>
    <mergeCell ref="K29:N29"/>
    <mergeCell ref="O29:R29"/>
    <mergeCell ref="C27:F27"/>
    <mergeCell ref="G27:J27"/>
    <mergeCell ref="K27:N27"/>
    <mergeCell ref="O27:R27"/>
    <mergeCell ref="C28:F28"/>
    <mergeCell ref="G28:J28"/>
    <mergeCell ref="K28:N28"/>
    <mergeCell ref="O28:R28"/>
  </mergeCells>
  <pageMargins left="0.7" right="0.7" top="0.78740157499999996" bottom="0.78740157499999996" header="0.3" footer="0.3"/>
  <pageSetup paperSize="9" orientation="portrait" horizontalDpi="1200" verticalDpi="1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16B7-0208-4DD4-9E48-72F8BDC7415D}">
  <dimension ref="A1:Q21"/>
  <sheetViews>
    <sheetView showGridLines="0" showRowColHeaders="0" zoomScale="90" zoomScaleNormal="90" workbookViewId="0"/>
  </sheetViews>
  <sheetFormatPr defaultColWidth="10.85546875" defaultRowHeight="14.25"/>
  <cols>
    <col min="1" max="1" width="1" style="1" customWidth="1"/>
    <col min="2" max="2" width="6.5703125" style="1" customWidth="1"/>
    <col min="3" max="4" width="10.5703125" style="1" customWidth="1"/>
    <col min="5" max="5" width="14.140625" style="1" customWidth="1"/>
    <col min="6" max="7" width="10.5703125" style="1" customWidth="1"/>
    <col min="8" max="9" width="12.5703125" style="1" customWidth="1"/>
    <col min="10" max="13" width="11.5703125" style="1" customWidth="1"/>
    <col min="14" max="16" width="10.5703125" style="1" customWidth="1"/>
    <col min="17" max="17" width="1.5703125" style="1" customWidth="1"/>
    <col min="18" max="16384" width="10.85546875" style="8"/>
  </cols>
  <sheetData>
    <row r="1" spans="1:17" ht="6" customHeight="1"/>
    <row r="2" spans="1:17" ht="18">
      <c r="B2" s="421" t="s">
        <v>854</v>
      </c>
      <c r="H2" s="3"/>
      <c r="I2" s="3"/>
      <c r="J2" s="3"/>
      <c r="K2" s="3"/>
      <c r="L2" s="3"/>
      <c r="M2" s="3"/>
      <c r="N2" s="3"/>
      <c r="O2" s="3"/>
      <c r="P2" s="3"/>
      <c r="Q2" s="3"/>
    </row>
    <row r="3" spans="1:17" ht="6.6" customHeight="1">
      <c r="A3" s="422"/>
      <c r="B3" s="422"/>
      <c r="C3" s="422"/>
      <c r="D3" s="422"/>
      <c r="E3" s="422"/>
      <c r="F3" s="422"/>
      <c r="G3" s="422"/>
      <c r="H3" s="422"/>
      <c r="I3" s="422"/>
      <c r="J3" s="422"/>
      <c r="K3" s="422"/>
      <c r="L3" s="422"/>
      <c r="M3" s="422"/>
      <c r="N3" s="422"/>
      <c r="O3" s="422"/>
      <c r="P3" s="422"/>
      <c r="Q3" s="422"/>
    </row>
    <row r="4" spans="1:17" ht="20.45" customHeight="1">
      <c r="A4" s="422"/>
      <c r="B4" s="706" t="s">
        <v>400</v>
      </c>
      <c r="C4" s="707"/>
      <c r="D4" s="707"/>
      <c r="E4" s="707"/>
      <c r="F4" s="707"/>
      <c r="G4" s="707"/>
      <c r="H4" s="707"/>
      <c r="I4" s="707"/>
      <c r="J4" s="707"/>
      <c r="K4" s="707"/>
      <c r="L4" s="707"/>
      <c r="M4" s="707"/>
      <c r="N4" s="707"/>
      <c r="O4" s="707"/>
      <c r="P4" s="707"/>
      <c r="Q4" s="708"/>
    </row>
    <row r="5" spans="1:17" ht="8.1" customHeight="1">
      <c r="B5" s="26"/>
      <c r="C5" s="13"/>
      <c r="D5" s="13"/>
      <c r="E5" s="13"/>
      <c r="F5" s="13"/>
      <c r="G5" s="13"/>
      <c r="H5" s="13"/>
      <c r="I5" s="13"/>
      <c r="J5" s="13"/>
      <c r="K5" s="13"/>
      <c r="L5" s="13"/>
      <c r="M5" s="13"/>
      <c r="N5" s="13"/>
      <c r="O5" s="13"/>
      <c r="P5" s="13"/>
      <c r="Q5" s="15"/>
    </row>
    <row r="6" spans="1:17" ht="18" customHeight="1">
      <c r="A6" s="422"/>
      <c r="B6" s="418"/>
      <c r="C6" s="419" t="s">
        <v>343</v>
      </c>
      <c r="D6" s="662" t="s">
        <v>855</v>
      </c>
      <c r="E6" s="710"/>
      <c r="F6" s="710"/>
      <c r="G6" s="419" t="s">
        <v>374</v>
      </c>
      <c r="H6" s="662" t="s">
        <v>496</v>
      </c>
      <c r="I6" s="710"/>
      <c r="J6" s="710"/>
      <c r="K6" s="419" t="s">
        <v>375</v>
      </c>
      <c r="L6" s="680" t="s">
        <v>788</v>
      </c>
      <c r="M6" s="710"/>
      <c r="N6" s="710"/>
      <c r="O6" s="419" t="s">
        <v>376</v>
      </c>
      <c r="P6" s="314">
        <v>45092</v>
      </c>
      <c r="Q6" s="290"/>
    </row>
    <row r="7" spans="1:17" ht="6" customHeight="1">
      <c r="B7" s="28"/>
      <c r="C7" s="20"/>
      <c r="D7" s="20"/>
      <c r="E7" s="20"/>
      <c r="F7" s="20"/>
      <c r="G7" s="20"/>
      <c r="H7" s="20"/>
      <c r="I7" s="20"/>
      <c r="J7" s="20"/>
      <c r="K7" s="20"/>
      <c r="L7" s="20"/>
      <c r="M7" s="20"/>
      <c r="N7" s="20"/>
      <c r="O7" s="20"/>
      <c r="P7" s="20"/>
      <c r="Q7" s="22"/>
    </row>
    <row r="8" spans="1:17" ht="20.100000000000001" customHeight="1">
      <c r="B8" s="711" t="s">
        <v>401</v>
      </c>
      <c r="C8" s="712"/>
      <c r="D8" s="712"/>
      <c r="E8" s="712"/>
      <c r="F8" s="712"/>
      <c r="G8" s="712"/>
      <c r="H8" s="712"/>
      <c r="I8" s="712"/>
      <c r="J8" s="712"/>
      <c r="K8" s="712"/>
      <c r="L8" s="712"/>
      <c r="M8" s="712"/>
      <c r="N8" s="712"/>
      <c r="O8" s="712"/>
      <c r="P8" s="712"/>
      <c r="Q8" s="713"/>
    </row>
    <row r="9" spans="1:17" ht="14.1" customHeight="1">
      <c r="B9" s="429" t="s">
        <v>5</v>
      </c>
      <c r="C9" s="697" t="s">
        <v>402</v>
      </c>
      <c r="D9" s="709"/>
      <c r="E9" s="709"/>
      <c r="F9" s="709"/>
      <c r="G9" s="453"/>
      <c r="H9" s="697" t="s">
        <v>403</v>
      </c>
      <c r="I9" s="453"/>
      <c r="J9" s="697" t="s">
        <v>404</v>
      </c>
      <c r="K9" s="453"/>
      <c r="L9" s="460" t="s">
        <v>405</v>
      </c>
      <c r="M9" s="611"/>
      <c r="N9" s="460" t="s">
        <v>382</v>
      </c>
      <c r="O9" s="610"/>
      <c r="P9" s="611"/>
      <c r="Q9" s="435"/>
    </row>
    <row r="10" spans="1:17" ht="14.1" customHeight="1">
      <c r="B10" s="430"/>
      <c r="C10" s="432"/>
      <c r="D10" s="211"/>
      <c r="E10" s="211"/>
      <c r="F10" s="211"/>
      <c r="G10" s="400"/>
      <c r="H10" s="698" t="s">
        <v>406</v>
      </c>
      <c r="I10" s="602"/>
      <c r="J10" s="698" t="s">
        <v>407</v>
      </c>
      <c r="K10" s="602"/>
      <c r="L10" s="425" t="s">
        <v>385</v>
      </c>
      <c r="M10" s="425" t="s">
        <v>386</v>
      </c>
      <c r="N10" s="10" t="s">
        <v>387</v>
      </c>
      <c r="O10" s="10" t="s">
        <v>388</v>
      </c>
      <c r="P10" s="10" t="s">
        <v>389</v>
      </c>
      <c r="Q10" s="435"/>
    </row>
    <row r="11" spans="1:17" ht="20.100000000000001" customHeight="1">
      <c r="B11" s="426">
        <v>1</v>
      </c>
      <c r="C11" s="694" t="s">
        <v>856</v>
      </c>
      <c r="D11" s="606"/>
      <c r="E11" s="606"/>
      <c r="F11" s="606"/>
      <c r="G11" s="529"/>
      <c r="H11" s="694" t="s">
        <v>857</v>
      </c>
      <c r="I11" s="529"/>
      <c r="J11" s="694" t="s">
        <v>858</v>
      </c>
      <c r="K11" s="529"/>
      <c r="L11" s="315">
        <v>45078</v>
      </c>
      <c r="M11" s="316">
        <v>45092</v>
      </c>
      <c r="N11" s="313"/>
      <c r="O11" s="120"/>
      <c r="P11" s="120" t="s">
        <v>578</v>
      </c>
      <c r="Q11" s="435"/>
    </row>
    <row r="12" spans="1:17" ht="20.100000000000001" customHeight="1">
      <c r="B12" s="426">
        <v>2</v>
      </c>
      <c r="C12" s="694" t="s">
        <v>859</v>
      </c>
      <c r="D12" s="606"/>
      <c r="E12" s="606"/>
      <c r="F12" s="606"/>
      <c r="G12" s="529"/>
      <c r="H12" s="694" t="s">
        <v>857</v>
      </c>
      <c r="I12" s="529"/>
      <c r="J12" s="694" t="s">
        <v>858</v>
      </c>
      <c r="K12" s="529"/>
      <c r="L12" s="315">
        <v>45092</v>
      </c>
      <c r="M12" s="316">
        <v>45122</v>
      </c>
      <c r="N12" s="120"/>
      <c r="O12" s="120" t="s">
        <v>578</v>
      </c>
      <c r="P12" s="120"/>
      <c r="Q12" s="435"/>
    </row>
    <row r="13" spans="1:17" ht="20.100000000000001" customHeight="1">
      <c r="B13" s="426">
        <v>3</v>
      </c>
      <c r="C13" s="694" t="s">
        <v>860</v>
      </c>
      <c r="D13" s="606"/>
      <c r="E13" s="606"/>
      <c r="F13" s="606"/>
      <c r="G13" s="529"/>
      <c r="H13" s="694" t="s">
        <v>857</v>
      </c>
      <c r="I13" s="529"/>
      <c r="J13" s="694" t="s">
        <v>861</v>
      </c>
      <c r="K13" s="529"/>
      <c r="L13" s="315">
        <v>45122</v>
      </c>
      <c r="M13" s="316">
        <v>45137</v>
      </c>
      <c r="N13" s="120" t="s">
        <v>578</v>
      </c>
      <c r="O13" s="120"/>
      <c r="P13" s="120"/>
      <c r="Q13" s="435"/>
    </row>
    <row r="14" spans="1:17" ht="20.100000000000001" customHeight="1">
      <c r="B14" s="426">
        <v>4</v>
      </c>
      <c r="C14" s="694" t="s">
        <v>862</v>
      </c>
      <c r="D14" s="606"/>
      <c r="E14" s="606"/>
      <c r="F14" s="606"/>
      <c r="G14" s="529"/>
      <c r="H14" s="694" t="s">
        <v>851</v>
      </c>
      <c r="I14" s="529"/>
      <c r="J14" s="694" t="s">
        <v>846</v>
      </c>
      <c r="K14" s="529"/>
      <c r="L14" s="315">
        <v>45127</v>
      </c>
      <c r="M14" s="316">
        <v>45128</v>
      </c>
      <c r="N14" s="120" t="s">
        <v>578</v>
      </c>
      <c r="O14" s="120"/>
      <c r="P14" s="120"/>
      <c r="Q14" s="435"/>
    </row>
    <row r="15" spans="1:17" ht="20.100000000000001" customHeight="1">
      <c r="B15" s="426">
        <v>5</v>
      </c>
      <c r="C15" s="694" t="s">
        <v>863</v>
      </c>
      <c r="D15" s="606"/>
      <c r="E15" s="606"/>
      <c r="F15" s="606"/>
      <c r="G15" s="529"/>
      <c r="H15" s="694" t="s">
        <v>775</v>
      </c>
      <c r="I15" s="529"/>
      <c r="J15" s="694" t="s">
        <v>780</v>
      </c>
      <c r="K15" s="529"/>
      <c r="L15" s="315">
        <v>45133</v>
      </c>
      <c r="M15" s="316">
        <v>45135</v>
      </c>
      <c r="N15" s="120" t="s">
        <v>578</v>
      </c>
      <c r="O15" s="120"/>
      <c r="P15" s="120"/>
      <c r="Q15" s="435"/>
    </row>
    <row r="16" spans="1:17" ht="20.100000000000001" customHeight="1">
      <c r="B16" s="426">
        <v>6</v>
      </c>
      <c r="C16" s="694" t="s">
        <v>864</v>
      </c>
      <c r="D16" s="606"/>
      <c r="E16" s="606"/>
      <c r="F16" s="606"/>
      <c r="G16" s="529"/>
      <c r="H16" s="694" t="s">
        <v>840</v>
      </c>
      <c r="I16" s="529"/>
      <c r="J16" s="694" t="s">
        <v>846</v>
      </c>
      <c r="K16" s="529"/>
      <c r="L16" s="315">
        <v>45135</v>
      </c>
      <c r="M16" s="316">
        <v>45136</v>
      </c>
      <c r="N16" s="120" t="s">
        <v>578</v>
      </c>
      <c r="O16" s="120"/>
      <c r="P16" s="120"/>
      <c r="Q16" s="435"/>
    </row>
    <row r="17" spans="2:17" ht="20.100000000000001" customHeight="1">
      <c r="B17" s="426">
        <v>7</v>
      </c>
      <c r="C17" s="694" t="s">
        <v>865</v>
      </c>
      <c r="D17" s="606"/>
      <c r="E17" s="606"/>
      <c r="F17" s="606"/>
      <c r="G17" s="529"/>
      <c r="H17" s="694" t="s">
        <v>840</v>
      </c>
      <c r="I17" s="529"/>
      <c r="J17" s="694" t="s">
        <v>846</v>
      </c>
      <c r="K17" s="529"/>
      <c r="L17" s="315">
        <v>45136</v>
      </c>
      <c r="M17" s="316">
        <v>45137</v>
      </c>
      <c r="N17" s="120" t="s">
        <v>578</v>
      </c>
      <c r="O17" s="120"/>
      <c r="P17" s="120"/>
      <c r="Q17" s="435"/>
    </row>
    <row r="18" spans="2:17" ht="20.100000000000001" customHeight="1">
      <c r="B18" s="426">
        <v>8</v>
      </c>
      <c r="C18" s="694" t="s">
        <v>866</v>
      </c>
      <c r="D18" s="606"/>
      <c r="E18" s="606"/>
      <c r="F18" s="606"/>
      <c r="G18" s="529"/>
      <c r="H18" s="694" t="s">
        <v>851</v>
      </c>
      <c r="I18" s="529"/>
      <c r="J18" s="694" t="s">
        <v>846</v>
      </c>
      <c r="K18" s="529"/>
      <c r="L18" s="315">
        <v>45139</v>
      </c>
      <c r="M18" s="316">
        <v>45140</v>
      </c>
      <c r="N18" s="120" t="s">
        <v>578</v>
      </c>
      <c r="O18" s="120"/>
      <c r="P18" s="120"/>
      <c r="Q18" s="435"/>
    </row>
    <row r="19" spans="2:17" ht="20.100000000000001" customHeight="1">
      <c r="B19" s="426">
        <v>9</v>
      </c>
      <c r="C19" s="694" t="s">
        <v>867</v>
      </c>
      <c r="D19" s="606"/>
      <c r="E19" s="606"/>
      <c r="F19" s="606"/>
      <c r="G19" s="529"/>
      <c r="H19" s="694" t="s">
        <v>851</v>
      </c>
      <c r="I19" s="529"/>
      <c r="J19" s="694" t="s">
        <v>858</v>
      </c>
      <c r="K19" s="529"/>
      <c r="L19" s="315">
        <v>45139</v>
      </c>
      <c r="M19" s="316">
        <v>45168</v>
      </c>
      <c r="N19" s="120" t="s">
        <v>578</v>
      </c>
      <c r="O19" s="120"/>
      <c r="P19" s="120"/>
      <c r="Q19" s="435"/>
    </row>
    <row r="20" spans="2:17" ht="20.100000000000001" customHeight="1">
      <c r="B20" s="426">
        <v>10</v>
      </c>
      <c r="C20" s="694" t="s">
        <v>868</v>
      </c>
      <c r="D20" s="606"/>
      <c r="E20" s="606"/>
      <c r="F20" s="606"/>
      <c r="G20" s="529"/>
      <c r="H20" s="694" t="s">
        <v>869</v>
      </c>
      <c r="I20" s="529"/>
      <c r="J20" s="694" t="s">
        <v>861</v>
      </c>
      <c r="K20" s="529"/>
      <c r="L20" s="315">
        <v>45168</v>
      </c>
      <c r="M20" s="316">
        <v>45169</v>
      </c>
      <c r="N20" s="120" t="s">
        <v>578</v>
      </c>
      <c r="O20" s="120"/>
      <c r="P20" s="120"/>
      <c r="Q20" s="435"/>
    </row>
    <row r="21" spans="2:17" ht="9.9499999999999993" customHeight="1">
      <c r="B21" s="319"/>
      <c r="C21" s="307"/>
      <c r="D21" s="307"/>
      <c r="E21" s="307"/>
      <c r="F21" s="307"/>
      <c r="G21" s="433"/>
      <c r="H21" s="401"/>
      <c r="I21" s="401"/>
      <c r="J21" s="401"/>
      <c r="K21" s="401"/>
      <c r="L21" s="401"/>
      <c r="M21" s="401"/>
      <c r="N21" s="402"/>
      <c r="O21" s="402"/>
      <c r="P21" s="402"/>
      <c r="Q21" s="403"/>
    </row>
  </sheetData>
  <mergeCells count="42">
    <mergeCell ref="H16:I16"/>
    <mergeCell ref="H17:I17"/>
    <mergeCell ref="J15:K15"/>
    <mergeCell ref="J16:K16"/>
    <mergeCell ref="J17:K17"/>
    <mergeCell ref="C20:G20"/>
    <mergeCell ref="H20:I20"/>
    <mergeCell ref="J20:K20"/>
    <mergeCell ref="L6:N6"/>
    <mergeCell ref="B8:Q8"/>
    <mergeCell ref="H9:I9"/>
    <mergeCell ref="J9:K9"/>
    <mergeCell ref="L9:M9"/>
    <mergeCell ref="N9:P9"/>
    <mergeCell ref="H10:I10"/>
    <mergeCell ref="J10:K10"/>
    <mergeCell ref="C15:G15"/>
    <mergeCell ref="C16:G16"/>
    <mergeCell ref="H6:J6"/>
    <mergeCell ref="D6:F6"/>
    <mergeCell ref="H15:I15"/>
    <mergeCell ref="C18:G18"/>
    <mergeCell ref="H18:I18"/>
    <mergeCell ref="J18:K18"/>
    <mergeCell ref="C17:G17"/>
    <mergeCell ref="C19:G19"/>
    <mergeCell ref="H19:I19"/>
    <mergeCell ref="J19:K19"/>
    <mergeCell ref="C9:G9"/>
    <mergeCell ref="B4:Q4"/>
    <mergeCell ref="J14:K14"/>
    <mergeCell ref="C11:G11"/>
    <mergeCell ref="H11:I11"/>
    <mergeCell ref="J12:K12"/>
    <mergeCell ref="C13:G13"/>
    <mergeCell ref="H13:I13"/>
    <mergeCell ref="J13:K13"/>
    <mergeCell ref="C14:G14"/>
    <mergeCell ref="H14:I14"/>
    <mergeCell ref="J11:K11"/>
    <mergeCell ref="C12:G12"/>
    <mergeCell ref="H12:I12"/>
  </mergeCells>
  <pageMargins left="0.7" right="0.7" top="0.78740157499999996" bottom="0.78740157499999996" header="0.3" footer="0.3"/>
  <pageSetup paperSize="9" orientation="portrait" horizontalDpi="1200" verticalDpi="120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6702-C23E-4BC8-9A3C-CB0A8C8A26D5}">
  <dimension ref="A1:W30"/>
  <sheetViews>
    <sheetView showGridLines="0" showRowColHeaders="0" zoomScale="80" zoomScaleNormal="80" workbookViewId="0"/>
  </sheetViews>
  <sheetFormatPr defaultColWidth="10.85546875" defaultRowHeight="14.25"/>
  <cols>
    <col min="1" max="2" width="1.85546875" style="1" customWidth="1"/>
    <col min="3" max="3" width="5.5703125" style="1" customWidth="1"/>
    <col min="4" max="5" width="11.5703125" style="1" customWidth="1"/>
    <col min="6" max="6" width="5.5703125" style="1" customWidth="1"/>
    <col min="7" max="7" width="7.5703125" style="1" customWidth="1"/>
    <col min="8" max="9" width="11.5703125" style="1" customWidth="1"/>
    <col min="10" max="11" width="7.5703125" style="1" customWidth="1"/>
    <col min="12" max="13" width="11.5703125" style="1" customWidth="1"/>
    <col min="14" max="15" width="7.5703125" style="1" customWidth="1"/>
    <col min="16" max="17" width="11.5703125" style="1" customWidth="1"/>
    <col min="18" max="19" width="7.5703125" style="1" customWidth="1"/>
    <col min="20" max="22" width="10.5703125" style="1" customWidth="1"/>
    <col min="23" max="23" width="1.5703125" style="1" customWidth="1"/>
    <col min="24" max="16384" width="10.85546875" style="8"/>
  </cols>
  <sheetData>
    <row r="1" spans="1:23" ht="6" customHeight="1"/>
    <row r="2" spans="1:23" ht="18">
      <c r="B2" s="421" t="s">
        <v>870</v>
      </c>
      <c r="C2" s="421"/>
      <c r="F2" s="3"/>
      <c r="G2" s="3"/>
      <c r="H2" s="3"/>
      <c r="I2" s="3"/>
      <c r="J2" s="3"/>
      <c r="K2" s="3"/>
      <c r="L2" s="3"/>
      <c r="M2" s="3"/>
      <c r="N2" s="3"/>
      <c r="O2" s="3"/>
      <c r="P2" s="3"/>
      <c r="Q2" s="3"/>
      <c r="R2" s="3"/>
      <c r="S2" s="3"/>
      <c r="T2" s="3"/>
      <c r="U2" s="3"/>
      <c r="V2" s="3"/>
      <c r="W2" s="3"/>
    </row>
    <row r="3" spans="1:23" ht="8.4499999999999993" customHeight="1">
      <c r="A3" s="422"/>
      <c r="B3" s="422"/>
      <c r="C3" s="422"/>
      <c r="D3" s="422"/>
      <c r="E3" s="422"/>
      <c r="F3" s="422"/>
      <c r="G3" s="422"/>
      <c r="H3" s="422"/>
      <c r="I3" s="422"/>
      <c r="J3" s="422"/>
      <c r="K3" s="422"/>
      <c r="L3" s="422"/>
      <c r="M3" s="422"/>
      <c r="N3" s="422"/>
      <c r="O3" s="422"/>
      <c r="P3" s="422"/>
      <c r="Q3" s="422"/>
      <c r="R3" s="422"/>
      <c r="S3" s="422"/>
      <c r="T3" s="422"/>
      <c r="U3" s="422"/>
      <c r="V3" s="422"/>
      <c r="W3" s="422"/>
    </row>
    <row r="4" spans="1:23" ht="20.45" customHeight="1">
      <c r="A4" s="422"/>
      <c r="B4" s="516" t="s">
        <v>409</v>
      </c>
      <c r="C4" s="517"/>
      <c r="D4" s="517"/>
      <c r="E4" s="517"/>
      <c r="F4" s="517"/>
      <c r="G4" s="517"/>
      <c r="H4" s="517"/>
      <c r="I4" s="517"/>
      <c r="J4" s="517"/>
      <c r="K4" s="517"/>
      <c r="L4" s="517"/>
      <c r="M4" s="517"/>
      <c r="N4" s="517"/>
      <c r="O4" s="517"/>
      <c r="P4" s="517"/>
      <c r="Q4" s="517"/>
      <c r="R4" s="517"/>
      <c r="S4" s="517"/>
      <c r="T4" s="517"/>
      <c r="U4" s="517"/>
      <c r="V4" s="517"/>
      <c r="W4" s="518"/>
    </row>
    <row r="5" spans="1:23" ht="8.1" customHeight="1">
      <c r="B5" s="12"/>
      <c r="C5" s="13"/>
      <c r="D5" s="13"/>
      <c r="E5" s="13"/>
      <c r="F5" s="13"/>
      <c r="G5" s="13"/>
      <c r="H5" s="13"/>
      <c r="I5" s="13"/>
      <c r="J5" s="13"/>
      <c r="K5" s="13"/>
      <c r="L5" s="13"/>
      <c r="M5" s="13"/>
      <c r="N5" s="13"/>
      <c r="O5" s="13"/>
      <c r="P5" s="13"/>
      <c r="Q5" s="13"/>
      <c r="R5" s="13"/>
      <c r="S5" s="13"/>
      <c r="T5" s="13"/>
      <c r="U5" s="13"/>
      <c r="V5" s="13"/>
      <c r="W5" s="15"/>
    </row>
    <row r="6" spans="1:23" ht="18" customHeight="1">
      <c r="A6" s="422"/>
      <c r="B6" s="530" t="s">
        <v>343</v>
      </c>
      <c r="C6" s="533"/>
      <c r="D6" s="533"/>
      <c r="E6" s="662" t="s">
        <v>855</v>
      </c>
      <c r="F6" s="663"/>
      <c r="G6" s="663"/>
      <c r="H6" s="663"/>
      <c r="I6" s="419" t="s">
        <v>374</v>
      </c>
      <c r="J6" s="662" t="s">
        <v>496</v>
      </c>
      <c r="K6" s="663"/>
      <c r="L6" s="663"/>
      <c r="M6" s="455"/>
      <c r="N6" s="825" t="s">
        <v>410</v>
      </c>
      <c r="O6" s="533"/>
      <c r="P6" s="533"/>
      <c r="Q6" s="680" t="s">
        <v>788</v>
      </c>
      <c r="R6" s="710"/>
      <c r="S6" s="710"/>
      <c r="T6" s="710"/>
      <c r="U6" s="419" t="s">
        <v>376</v>
      </c>
      <c r="V6" s="314">
        <v>45153</v>
      </c>
      <c r="W6" s="290"/>
    </row>
    <row r="7" spans="1:23" ht="6" customHeight="1">
      <c r="B7" s="19"/>
      <c r="C7" s="20"/>
      <c r="D7" s="20"/>
      <c r="E7" s="20"/>
      <c r="F7" s="20"/>
      <c r="G7" s="20"/>
      <c r="H7" s="20"/>
      <c r="I7" s="20"/>
      <c r="J7" s="20"/>
      <c r="K7" s="20"/>
      <c r="L7" s="20"/>
      <c r="M7" s="20"/>
      <c r="N7" s="20"/>
      <c r="O7" s="20"/>
      <c r="P7" s="20"/>
      <c r="Q7" s="20"/>
      <c r="R7" s="20"/>
      <c r="S7" s="20"/>
      <c r="T7" s="20"/>
      <c r="U7" s="20"/>
      <c r="V7" s="20"/>
      <c r="W7" s="22"/>
    </row>
    <row r="8" spans="1:23" ht="20.100000000000001" customHeight="1">
      <c r="B8" s="640" t="s">
        <v>411</v>
      </c>
      <c r="C8" s="642"/>
      <c r="D8" s="642"/>
      <c r="E8" s="642"/>
      <c r="F8" s="642"/>
      <c r="G8" s="642"/>
      <c r="H8" s="642"/>
      <c r="I8" s="642"/>
      <c r="J8" s="642"/>
      <c r="K8" s="642"/>
      <c r="L8" s="642"/>
      <c r="M8" s="642"/>
      <c r="N8" s="642"/>
      <c r="O8" s="642"/>
      <c r="P8" s="642"/>
      <c r="Q8" s="642"/>
      <c r="R8" s="642"/>
      <c r="S8" s="642"/>
      <c r="T8" s="642"/>
      <c r="U8" s="642"/>
      <c r="V8" s="642"/>
      <c r="W8" s="643"/>
    </row>
    <row r="9" spans="1:23" ht="18" customHeight="1">
      <c r="B9" s="714"/>
      <c r="C9" s="675" t="s">
        <v>412</v>
      </c>
      <c r="D9" s="622"/>
      <c r="E9" s="622"/>
      <c r="F9" s="622"/>
      <c r="G9" s="675" t="s">
        <v>413</v>
      </c>
      <c r="H9" s="622"/>
      <c r="I9" s="622"/>
      <c r="J9" s="622"/>
      <c r="K9" s="675" t="s">
        <v>414</v>
      </c>
      <c r="L9" s="622"/>
      <c r="M9" s="622"/>
      <c r="N9" s="622"/>
      <c r="O9" s="675" t="s">
        <v>871</v>
      </c>
      <c r="P9" s="622"/>
      <c r="Q9" s="622"/>
      <c r="R9" s="622"/>
      <c r="S9" s="675" t="s">
        <v>416</v>
      </c>
      <c r="T9" s="622"/>
      <c r="U9" s="622"/>
      <c r="V9" s="622"/>
      <c r="W9" s="717"/>
    </row>
    <row r="10" spans="1:23" ht="15" customHeight="1">
      <c r="B10" s="714"/>
      <c r="C10" s="325"/>
      <c r="D10" s="322"/>
      <c r="E10" s="322"/>
      <c r="F10" s="327"/>
      <c r="G10" s="333"/>
      <c r="H10" s="320"/>
      <c r="I10" s="320"/>
      <c r="J10" s="334"/>
      <c r="K10" s="333"/>
      <c r="L10" s="320"/>
      <c r="M10" s="320"/>
      <c r="N10" s="334"/>
      <c r="O10" s="333"/>
      <c r="P10" s="320"/>
      <c r="Q10" s="320"/>
      <c r="R10" s="334"/>
      <c r="S10" s="320"/>
      <c r="T10" s="320"/>
      <c r="U10" s="320"/>
      <c r="V10" s="334"/>
      <c r="W10" s="717"/>
    </row>
    <row r="11" spans="1:23" ht="15.95" customHeight="1">
      <c r="B11" s="714"/>
      <c r="C11" s="718" t="s">
        <v>417</v>
      </c>
      <c r="D11" s="719"/>
      <c r="E11" s="338">
        <v>45153</v>
      </c>
      <c r="F11" s="326"/>
      <c r="G11" s="333"/>
      <c r="H11" s="339">
        <v>0.99</v>
      </c>
      <c r="I11" s="340"/>
      <c r="J11" s="341"/>
      <c r="K11" s="342"/>
      <c r="L11" s="340"/>
      <c r="M11" s="340"/>
      <c r="N11" s="341"/>
      <c r="O11" s="342"/>
      <c r="P11" s="340"/>
      <c r="Q11" s="340"/>
      <c r="R11" s="341"/>
      <c r="S11" s="340"/>
      <c r="T11" s="340"/>
      <c r="U11" s="340"/>
      <c r="V11" s="334"/>
      <c r="W11" s="717"/>
    </row>
    <row r="12" spans="1:23" ht="15.95" customHeight="1">
      <c r="B12" s="714"/>
      <c r="C12" s="325"/>
      <c r="D12" s="322"/>
      <c r="E12" s="320"/>
      <c r="F12" s="326"/>
      <c r="G12" s="333"/>
      <c r="H12" s="343"/>
      <c r="I12" s="344">
        <v>0.98</v>
      </c>
      <c r="J12" s="341"/>
      <c r="K12" s="342"/>
      <c r="L12" s="340"/>
      <c r="M12" s="340"/>
      <c r="N12" s="341"/>
      <c r="O12" s="342"/>
      <c r="P12" s="340"/>
      <c r="Q12" s="340"/>
      <c r="R12" s="341"/>
      <c r="S12" s="340"/>
      <c r="T12" s="343" t="s">
        <v>872</v>
      </c>
      <c r="U12" s="340"/>
      <c r="V12" s="334"/>
      <c r="W12" s="717"/>
    </row>
    <row r="13" spans="1:23" ht="15.95" customHeight="1">
      <c r="B13" s="714"/>
      <c r="C13" s="718" t="s">
        <v>418</v>
      </c>
      <c r="D13" s="719"/>
      <c r="E13" s="313" t="s">
        <v>873</v>
      </c>
      <c r="F13" s="326"/>
      <c r="G13" s="333"/>
      <c r="H13" s="343"/>
      <c r="I13" s="345"/>
      <c r="J13" s="341"/>
      <c r="K13" s="342"/>
      <c r="L13" s="340"/>
      <c r="M13" s="345" t="s">
        <v>874</v>
      </c>
      <c r="N13" s="341"/>
      <c r="O13" s="342"/>
      <c r="P13" s="340"/>
      <c r="Q13" s="340"/>
      <c r="R13" s="341"/>
      <c r="S13" s="340"/>
      <c r="T13" s="343"/>
      <c r="U13" s="340"/>
      <c r="V13" s="334"/>
      <c r="W13" s="717"/>
    </row>
    <row r="14" spans="1:23" ht="15.95" customHeight="1">
      <c r="B14" s="714"/>
      <c r="C14" s="325"/>
      <c r="D14" s="322"/>
      <c r="E14" s="320"/>
      <c r="F14" s="326"/>
      <c r="G14" s="333"/>
      <c r="H14" s="343"/>
      <c r="I14" s="345"/>
      <c r="J14" s="341"/>
      <c r="K14" s="342"/>
      <c r="L14" s="343" t="s">
        <v>875</v>
      </c>
      <c r="M14" s="345"/>
      <c r="N14" s="341"/>
      <c r="O14" s="342"/>
      <c r="P14" s="340"/>
      <c r="Q14" s="340"/>
      <c r="R14" s="341"/>
      <c r="S14" s="340"/>
      <c r="T14" s="343"/>
      <c r="U14" s="340"/>
      <c r="V14" s="334"/>
      <c r="W14" s="717"/>
    </row>
    <row r="15" spans="1:23" ht="15.95" customHeight="1">
      <c r="B15" s="696"/>
      <c r="C15" s="718" t="s">
        <v>419</v>
      </c>
      <c r="D15" s="531"/>
      <c r="E15" s="338">
        <v>45168</v>
      </c>
      <c r="F15" s="326"/>
      <c r="G15" s="333"/>
      <c r="H15" s="343"/>
      <c r="I15" s="345"/>
      <c r="J15" s="346"/>
      <c r="K15" s="342"/>
      <c r="L15" s="343"/>
      <c r="M15" s="345"/>
      <c r="N15" s="346"/>
      <c r="O15" s="342"/>
      <c r="P15" s="340"/>
      <c r="Q15" s="340"/>
      <c r="R15" s="346"/>
      <c r="S15" s="347"/>
      <c r="T15" s="343"/>
      <c r="U15" s="345" t="s">
        <v>876</v>
      </c>
      <c r="V15" s="330"/>
      <c r="W15" s="693"/>
    </row>
    <row r="16" spans="1:23" ht="15.95" customHeight="1">
      <c r="B16" s="696"/>
      <c r="C16" s="325"/>
      <c r="D16" s="321"/>
      <c r="E16" s="321"/>
      <c r="F16" s="326"/>
      <c r="G16" s="333"/>
      <c r="H16" s="343"/>
      <c r="I16" s="345"/>
      <c r="J16" s="346"/>
      <c r="K16" s="342"/>
      <c r="L16" s="343"/>
      <c r="M16" s="345"/>
      <c r="N16" s="346"/>
      <c r="O16" s="342"/>
      <c r="P16" s="340"/>
      <c r="Q16" s="345" t="s">
        <v>877</v>
      </c>
      <c r="R16" s="346"/>
      <c r="S16" s="347"/>
      <c r="T16" s="343"/>
      <c r="U16" s="345"/>
      <c r="V16" s="330"/>
      <c r="W16" s="693"/>
    </row>
    <row r="17" spans="2:23" ht="15.95" customHeight="1">
      <c r="B17" s="696"/>
      <c r="C17" s="718" t="s">
        <v>420</v>
      </c>
      <c r="D17" s="531"/>
      <c r="E17" s="338">
        <v>45139</v>
      </c>
      <c r="F17" s="326"/>
      <c r="G17" s="333"/>
      <c r="H17" s="343"/>
      <c r="I17" s="345"/>
      <c r="J17" s="346"/>
      <c r="K17" s="342"/>
      <c r="L17" s="343"/>
      <c r="M17" s="345"/>
      <c r="N17" s="346"/>
      <c r="O17" s="342"/>
      <c r="P17" s="340"/>
      <c r="Q17" s="345"/>
      <c r="R17" s="346"/>
      <c r="S17" s="347"/>
      <c r="T17" s="343"/>
      <c r="U17" s="345"/>
      <c r="V17" s="330"/>
      <c r="W17" s="693"/>
    </row>
    <row r="18" spans="2:23" ht="15.95" customHeight="1">
      <c r="B18" s="696"/>
      <c r="C18" s="325"/>
      <c r="D18" s="321"/>
      <c r="E18" s="321"/>
      <c r="F18" s="326"/>
      <c r="G18" s="333"/>
      <c r="H18" s="343"/>
      <c r="I18" s="345"/>
      <c r="J18" s="346"/>
      <c r="K18" s="342"/>
      <c r="L18" s="343"/>
      <c r="M18" s="345"/>
      <c r="N18" s="346"/>
      <c r="O18" s="342"/>
      <c r="P18" s="343" t="s">
        <v>878</v>
      </c>
      <c r="Q18" s="345"/>
      <c r="R18" s="346"/>
      <c r="S18" s="347"/>
      <c r="T18" s="343"/>
      <c r="U18" s="345"/>
      <c r="V18" s="330"/>
      <c r="W18" s="693"/>
    </row>
    <row r="19" spans="2:23" ht="15.95" customHeight="1">
      <c r="B19" s="696"/>
      <c r="C19" s="718" t="s">
        <v>421</v>
      </c>
      <c r="D19" s="531"/>
      <c r="E19" s="338">
        <v>45122</v>
      </c>
      <c r="F19" s="326"/>
      <c r="G19" s="333"/>
      <c r="H19" s="343"/>
      <c r="I19" s="345"/>
      <c r="J19" s="346"/>
      <c r="K19" s="342"/>
      <c r="L19" s="343"/>
      <c r="M19" s="345"/>
      <c r="N19" s="346"/>
      <c r="O19" s="342"/>
      <c r="P19" s="343"/>
      <c r="Q19" s="345"/>
      <c r="R19" s="346"/>
      <c r="S19" s="347"/>
      <c r="T19" s="343"/>
      <c r="U19" s="345"/>
      <c r="V19" s="330"/>
      <c r="W19" s="693"/>
    </row>
    <row r="20" spans="2:23" ht="15" customHeight="1">
      <c r="B20" s="696"/>
      <c r="C20" s="720"/>
      <c r="D20" s="721"/>
      <c r="E20" s="328"/>
      <c r="F20" s="329"/>
      <c r="G20" s="335"/>
      <c r="H20" s="336" t="s">
        <v>422</v>
      </c>
      <c r="I20" s="336" t="s">
        <v>423</v>
      </c>
      <c r="J20" s="331"/>
      <c r="K20" s="335"/>
      <c r="L20" s="336" t="s">
        <v>422</v>
      </c>
      <c r="M20" s="336" t="s">
        <v>423</v>
      </c>
      <c r="N20" s="331"/>
      <c r="O20" s="335"/>
      <c r="P20" s="336" t="s">
        <v>422</v>
      </c>
      <c r="Q20" s="336" t="s">
        <v>423</v>
      </c>
      <c r="R20" s="331"/>
      <c r="S20" s="332"/>
      <c r="T20" s="336" t="s">
        <v>422</v>
      </c>
      <c r="U20" s="336" t="s">
        <v>423</v>
      </c>
      <c r="V20" s="331"/>
      <c r="W20" s="693"/>
    </row>
    <row r="21" spans="2:23" ht="9.9499999999999993" customHeight="1">
      <c r="B21" s="696"/>
      <c r="C21" s="323"/>
      <c r="D21" s="307"/>
      <c r="E21" s="433"/>
      <c r="F21" s="324"/>
      <c r="G21" s="433"/>
      <c r="H21" s="433"/>
      <c r="I21" s="324"/>
      <c r="J21" s="433"/>
      <c r="K21" s="324"/>
      <c r="L21" s="433"/>
      <c r="M21" s="324"/>
      <c r="N21" s="433"/>
      <c r="O21" s="433"/>
      <c r="P21" s="433"/>
      <c r="Q21" s="324"/>
      <c r="R21" s="324"/>
      <c r="S21" s="324"/>
      <c r="T21" s="434"/>
      <c r="U21" s="434"/>
      <c r="V21" s="434"/>
      <c r="W21" s="693"/>
    </row>
    <row r="22" spans="2:23" ht="20.100000000000001" customHeight="1">
      <c r="B22" s="640" t="s">
        <v>424</v>
      </c>
      <c r="C22" s="642"/>
      <c r="D22" s="642"/>
      <c r="E22" s="642"/>
      <c r="F22" s="642"/>
      <c r="G22" s="642"/>
      <c r="H22" s="642"/>
      <c r="I22" s="642"/>
      <c r="J22" s="642"/>
      <c r="K22" s="642"/>
      <c r="L22" s="642"/>
      <c r="M22" s="642"/>
      <c r="N22" s="642"/>
      <c r="O22" s="642"/>
      <c r="P22" s="642"/>
      <c r="Q22" s="642"/>
      <c r="R22" s="642"/>
      <c r="S22" s="642"/>
      <c r="T22" s="642"/>
      <c r="U22" s="642"/>
      <c r="V22" s="642"/>
      <c r="W22" s="643"/>
    </row>
    <row r="23" spans="2:23" ht="14.1" customHeight="1">
      <c r="B23" s="308"/>
      <c r="C23" s="687" t="s">
        <v>5</v>
      </c>
      <c r="D23" s="675" t="s">
        <v>425</v>
      </c>
      <c r="E23" s="675" t="s">
        <v>426</v>
      </c>
      <c r="F23" s="703" t="s">
        <v>427</v>
      </c>
      <c r="G23" s="709"/>
      <c r="H23" s="709"/>
      <c r="I23" s="709"/>
      <c r="J23" s="709"/>
      <c r="K23" s="709"/>
      <c r="L23" s="709"/>
      <c r="M23" s="453"/>
      <c r="N23" s="697" t="s">
        <v>380</v>
      </c>
      <c r="O23" s="709"/>
      <c r="P23" s="453"/>
      <c r="Q23" s="697" t="s">
        <v>428</v>
      </c>
      <c r="R23" s="709"/>
      <c r="S23" s="453"/>
      <c r="T23" s="460" t="s">
        <v>382</v>
      </c>
      <c r="U23" s="610"/>
      <c r="V23" s="611"/>
      <c r="W23" s="310"/>
    </row>
    <row r="24" spans="2:23" ht="14.1" customHeight="1">
      <c r="B24" s="308"/>
      <c r="C24" s="527"/>
      <c r="D24" s="622"/>
      <c r="E24" s="622"/>
      <c r="F24" s="601"/>
      <c r="G24" s="705"/>
      <c r="H24" s="705"/>
      <c r="I24" s="705"/>
      <c r="J24" s="705"/>
      <c r="K24" s="705"/>
      <c r="L24" s="705"/>
      <c r="M24" s="602"/>
      <c r="N24" s="698" t="s">
        <v>429</v>
      </c>
      <c r="O24" s="705"/>
      <c r="P24" s="602"/>
      <c r="Q24" s="698" t="s">
        <v>430</v>
      </c>
      <c r="R24" s="705"/>
      <c r="S24" s="602"/>
      <c r="T24" s="10" t="s">
        <v>431</v>
      </c>
      <c r="U24" s="10" t="s">
        <v>388</v>
      </c>
      <c r="V24" s="10" t="s">
        <v>432</v>
      </c>
      <c r="W24" s="310"/>
    </row>
    <row r="25" spans="2:23" ht="20.100000000000001" customHeight="1">
      <c r="B25" s="308"/>
      <c r="C25" s="426">
        <v>1</v>
      </c>
      <c r="D25" s="338">
        <v>45140</v>
      </c>
      <c r="E25" s="348">
        <v>0.60416666666666663</v>
      </c>
      <c r="F25" s="722" t="s">
        <v>879</v>
      </c>
      <c r="G25" s="723"/>
      <c r="H25" s="723"/>
      <c r="I25" s="723"/>
      <c r="J25" s="724"/>
      <c r="K25" s="724"/>
      <c r="L25" s="724"/>
      <c r="M25" s="725"/>
      <c r="N25" s="726" t="s">
        <v>858</v>
      </c>
      <c r="O25" s="727"/>
      <c r="P25" s="728"/>
      <c r="Q25" s="726" t="s">
        <v>775</v>
      </c>
      <c r="R25" s="727"/>
      <c r="S25" s="728"/>
      <c r="T25" s="313" t="s">
        <v>578</v>
      </c>
      <c r="U25" s="120" t="s">
        <v>578</v>
      </c>
      <c r="V25" s="120" t="s">
        <v>578</v>
      </c>
      <c r="W25" s="310"/>
    </row>
    <row r="26" spans="2:23" ht="20.100000000000001" customHeight="1">
      <c r="B26" s="308"/>
      <c r="C26" s="426">
        <v>2</v>
      </c>
      <c r="D26" s="338">
        <v>45143</v>
      </c>
      <c r="E26" s="349">
        <v>0.28125</v>
      </c>
      <c r="F26" s="722" t="s">
        <v>880</v>
      </c>
      <c r="G26" s="723"/>
      <c r="H26" s="723"/>
      <c r="I26" s="723"/>
      <c r="J26" s="724"/>
      <c r="K26" s="724"/>
      <c r="L26" s="724"/>
      <c r="M26" s="725"/>
      <c r="N26" s="726" t="s">
        <v>858</v>
      </c>
      <c r="O26" s="727"/>
      <c r="P26" s="728"/>
      <c r="Q26" s="726" t="s">
        <v>775</v>
      </c>
      <c r="R26" s="727"/>
      <c r="S26" s="728"/>
      <c r="T26" s="120" t="s">
        <v>578</v>
      </c>
      <c r="U26" s="120" t="s">
        <v>578</v>
      </c>
      <c r="V26" s="120"/>
      <c r="W26" s="310"/>
    </row>
    <row r="27" spans="2:23" ht="20.100000000000001" customHeight="1">
      <c r="B27" s="308"/>
      <c r="C27" s="426">
        <v>3</v>
      </c>
      <c r="D27" s="338">
        <v>45150</v>
      </c>
      <c r="E27" s="349">
        <v>0.70138888888888884</v>
      </c>
      <c r="F27" s="722" t="s">
        <v>881</v>
      </c>
      <c r="G27" s="723"/>
      <c r="H27" s="723"/>
      <c r="I27" s="723"/>
      <c r="J27" s="724"/>
      <c r="K27" s="724"/>
      <c r="L27" s="724"/>
      <c r="M27" s="725"/>
      <c r="N27" s="726" t="s">
        <v>882</v>
      </c>
      <c r="O27" s="727"/>
      <c r="P27" s="728"/>
      <c r="Q27" s="726" t="s">
        <v>883</v>
      </c>
      <c r="R27" s="727"/>
      <c r="S27" s="728"/>
      <c r="T27" s="120" t="s">
        <v>578</v>
      </c>
      <c r="U27" s="120"/>
      <c r="V27" s="120"/>
      <c r="W27" s="310"/>
    </row>
    <row r="28" spans="2:23" ht="20.100000000000001" customHeight="1">
      <c r="B28" s="308"/>
      <c r="C28" s="426">
        <v>4</v>
      </c>
      <c r="D28" s="313"/>
      <c r="E28" s="120"/>
      <c r="F28" s="722"/>
      <c r="G28" s="723"/>
      <c r="H28" s="723"/>
      <c r="I28" s="723"/>
      <c r="J28" s="724"/>
      <c r="K28" s="724"/>
      <c r="L28" s="724"/>
      <c r="M28" s="725"/>
      <c r="N28" s="726"/>
      <c r="O28" s="727"/>
      <c r="P28" s="728"/>
      <c r="Q28" s="726"/>
      <c r="R28" s="727"/>
      <c r="S28" s="728"/>
      <c r="T28" s="120"/>
      <c r="U28" s="120"/>
      <c r="V28" s="120"/>
      <c r="W28" s="310"/>
    </row>
    <row r="29" spans="2:23" ht="20.100000000000001" customHeight="1">
      <c r="B29" s="308"/>
      <c r="C29" s="426">
        <v>5</v>
      </c>
      <c r="D29" s="313"/>
      <c r="E29" s="120"/>
      <c r="F29" s="722"/>
      <c r="G29" s="723"/>
      <c r="H29" s="723"/>
      <c r="I29" s="723"/>
      <c r="J29" s="724"/>
      <c r="K29" s="724"/>
      <c r="L29" s="724"/>
      <c r="M29" s="725"/>
      <c r="N29" s="726"/>
      <c r="O29" s="727"/>
      <c r="P29" s="728"/>
      <c r="Q29" s="726"/>
      <c r="R29" s="727"/>
      <c r="S29" s="728"/>
      <c r="T29" s="120"/>
      <c r="U29" s="120"/>
      <c r="V29" s="120"/>
      <c r="W29" s="310"/>
    </row>
    <row r="30" spans="2:23" ht="9.9499999999999993" customHeight="1">
      <c r="B30" s="311"/>
      <c r="C30" s="309"/>
      <c r="D30" s="309"/>
      <c r="E30" s="309"/>
      <c r="F30" s="309"/>
      <c r="G30" s="309"/>
      <c r="H30" s="309"/>
      <c r="I30" s="309"/>
      <c r="J30" s="309"/>
      <c r="K30" s="309"/>
      <c r="L30" s="309"/>
      <c r="M30" s="309"/>
      <c r="N30" s="309"/>
      <c r="O30" s="309"/>
      <c r="P30" s="309"/>
      <c r="Q30" s="309"/>
      <c r="R30" s="309"/>
      <c r="S30" s="309"/>
      <c r="T30" s="309"/>
      <c r="U30" s="309"/>
      <c r="V30" s="309"/>
      <c r="W30" s="312"/>
    </row>
  </sheetData>
  <mergeCells count="45">
    <mergeCell ref="F29:M29"/>
    <mergeCell ref="G9:J9"/>
    <mergeCell ref="K9:N9"/>
    <mergeCell ref="O9:R9"/>
    <mergeCell ref="S9:V9"/>
    <mergeCell ref="C9:F9"/>
    <mergeCell ref="C19:D19"/>
    <mergeCell ref="C13:D13"/>
    <mergeCell ref="C11:D11"/>
    <mergeCell ref="C15:D15"/>
    <mergeCell ref="C17:D17"/>
    <mergeCell ref="C20:D20"/>
    <mergeCell ref="T23:V23"/>
    <mergeCell ref="D23:D24"/>
    <mergeCell ref="E23:E24"/>
    <mergeCell ref="C23:C24"/>
    <mergeCell ref="Q23:S23"/>
    <mergeCell ref="Q24:S24"/>
    <mergeCell ref="N23:P23"/>
    <mergeCell ref="N24:P24"/>
    <mergeCell ref="Q25:S25"/>
    <mergeCell ref="Q27:S27"/>
    <mergeCell ref="Q28:S28"/>
    <mergeCell ref="Q29:S29"/>
    <mergeCell ref="N25:P25"/>
    <mergeCell ref="N26:P26"/>
    <mergeCell ref="N27:P27"/>
    <mergeCell ref="N28:P28"/>
    <mergeCell ref="N29:P29"/>
    <mergeCell ref="Q26:S26"/>
    <mergeCell ref="F23:M24"/>
    <mergeCell ref="F27:M27"/>
    <mergeCell ref="F28:M28"/>
    <mergeCell ref="F25:M25"/>
    <mergeCell ref="F26:M26"/>
    <mergeCell ref="B22:W22"/>
    <mergeCell ref="W9:W21"/>
    <mergeCell ref="B4:W4"/>
    <mergeCell ref="E6:H6"/>
    <mergeCell ref="B8:W8"/>
    <mergeCell ref="B9:B21"/>
    <mergeCell ref="J6:M6"/>
    <mergeCell ref="Q6:T6"/>
    <mergeCell ref="B6:D6"/>
    <mergeCell ref="N6:P6"/>
  </mergeCells>
  <pageMargins left="0.7" right="0.7" top="0.78740157499999996" bottom="0.78740157499999996" header="0.3" footer="0.3"/>
  <pageSetup paperSize="9"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6ACF5-1F8B-434D-84C3-5076966BD490}">
  <dimension ref="A1:K19"/>
  <sheetViews>
    <sheetView showGridLines="0" showRowColHeaders="0" zoomScale="90" zoomScaleNormal="90" workbookViewId="0"/>
  </sheetViews>
  <sheetFormatPr defaultColWidth="11.42578125" defaultRowHeight="15"/>
  <cols>
    <col min="1" max="1" width="1.5703125" style="1" customWidth="1"/>
    <col min="2" max="2" width="4.140625" style="1" customWidth="1"/>
    <col min="3" max="3" width="12.5703125" style="1" customWidth="1"/>
    <col min="4" max="4" width="30.140625" style="1" customWidth="1"/>
    <col min="5" max="5" width="26.85546875" style="1" customWidth="1"/>
    <col min="6" max="6" width="32.85546875" style="1" customWidth="1"/>
    <col min="7" max="7" width="16.85546875" style="1" customWidth="1"/>
    <col min="8" max="8" width="14.28515625" style="1" customWidth="1"/>
    <col min="9" max="11" width="8.5703125" style="1" customWidth="1"/>
  </cols>
  <sheetData>
    <row r="1" spans="1:11" ht="6.6" customHeight="1"/>
    <row r="2" spans="1:11" ht="18">
      <c r="B2" s="421" t="s">
        <v>884</v>
      </c>
      <c r="G2" s="3"/>
      <c r="H2" s="3"/>
      <c r="I2" s="4"/>
      <c r="J2" s="3"/>
      <c r="K2" s="4"/>
    </row>
    <row r="3" spans="1:11" ht="6.6" customHeight="1">
      <c r="A3" s="422"/>
      <c r="B3" s="422"/>
      <c r="C3" s="422"/>
      <c r="D3" s="422"/>
      <c r="E3" s="422"/>
      <c r="F3" s="422"/>
      <c r="G3" s="422"/>
      <c r="H3" s="422"/>
      <c r="I3" s="422"/>
      <c r="J3" s="422"/>
      <c r="K3" s="422"/>
    </row>
    <row r="4" spans="1:11" ht="20.45" customHeight="1">
      <c r="A4" s="422"/>
      <c r="B4" s="516" t="s">
        <v>434</v>
      </c>
      <c r="C4" s="517"/>
      <c r="D4" s="517"/>
      <c r="E4" s="517"/>
      <c r="F4" s="517"/>
      <c r="G4" s="517"/>
      <c r="H4" s="517"/>
      <c r="I4" s="517"/>
      <c r="J4" s="517"/>
      <c r="K4" s="518"/>
    </row>
    <row r="5" spans="1:11" ht="8.1" customHeight="1">
      <c r="B5" s="12"/>
      <c r="C5" s="13"/>
      <c r="D5" s="13"/>
      <c r="E5" s="13"/>
      <c r="F5" s="13"/>
      <c r="G5" s="13"/>
      <c r="H5" s="13"/>
      <c r="I5" s="14"/>
      <c r="J5" s="13"/>
      <c r="K5" s="15"/>
    </row>
    <row r="6" spans="1:11" ht="18.95" customHeight="1">
      <c r="B6" s="16"/>
      <c r="C6" s="419" t="s">
        <v>435</v>
      </c>
      <c r="D6" s="733" t="s">
        <v>885</v>
      </c>
      <c r="E6" s="734"/>
      <c r="F6" s="437"/>
      <c r="G6" s="47" t="s">
        <v>376</v>
      </c>
      <c r="H6" s="416">
        <v>45141</v>
      </c>
      <c r="I6" s="317"/>
      <c r="J6" s="123"/>
      <c r="K6" s="18"/>
    </row>
    <row r="7" spans="1:11" ht="6" customHeight="1">
      <c r="B7" s="19"/>
      <c r="C7" s="20"/>
      <c r="D7" s="20"/>
      <c r="E7" s="20"/>
      <c r="F7" s="20"/>
      <c r="G7" s="20"/>
      <c r="H7" s="20"/>
      <c r="I7" s="21"/>
      <c r="J7" s="20"/>
      <c r="K7" s="22"/>
    </row>
    <row r="8" spans="1:11" ht="20.100000000000001" customHeight="1">
      <c r="B8" s="514" t="s">
        <v>5</v>
      </c>
      <c r="C8" s="697" t="s">
        <v>436</v>
      </c>
      <c r="D8" s="453"/>
      <c r="E8" s="697" t="s">
        <v>437</v>
      </c>
      <c r="F8" s="453"/>
      <c r="G8" s="424" t="s">
        <v>438</v>
      </c>
      <c r="H8" s="424" t="s">
        <v>439</v>
      </c>
      <c r="I8" s="730" t="s">
        <v>382</v>
      </c>
      <c r="J8" s="731"/>
      <c r="K8" s="732"/>
    </row>
    <row r="9" spans="1:11" ht="15.6" customHeight="1">
      <c r="A9" s="2"/>
      <c r="B9" s="522"/>
      <c r="C9" s="507" t="s">
        <v>440</v>
      </c>
      <c r="D9" s="729"/>
      <c r="E9" s="507" t="s">
        <v>441</v>
      </c>
      <c r="F9" s="729"/>
      <c r="G9" s="291" t="s">
        <v>442</v>
      </c>
      <c r="H9" s="291" t="s">
        <v>443</v>
      </c>
      <c r="I9" s="58" t="s">
        <v>431</v>
      </c>
      <c r="J9" s="10" t="s">
        <v>388</v>
      </c>
      <c r="K9" s="10" t="s">
        <v>389</v>
      </c>
    </row>
    <row r="10" spans="1:11" ht="26.1" customHeight="1">
      <c r="B10" s="10">
        <v>1</v>
      </c>
      <c r="C10" s="605" t="s">
        <v>886</v>
      </c>
      <c r="D10" s="702"/>
      <c r="E10" s="605" t="s">
        <v>887</v>
      </c>
      <c r="F10" s="702"/>
      <c r="G10" s="120" t="s">
        <v>788</v>
      </c>
      <c r="H10" s="318">
        <v>45140</v>
      </c>
      <c r="I10" s="120"/>
      <c r="J10" s="120"/>
      <c r="K10" s="120" t="s">
        <v>578</v>
      </c>
    </row>
    <row r="11" spans="1:11" ht="26.1" customHeight="1">
      <c r="B11" s="10">
        <f>B10+1</f>
        <v>2</v>
      </c>
      <c r="C11" s="605" t="s">
        <v>888</v>
      </c>
      <c r="D11" s="702"/>
      <c r="E11" s="605" t="s">
        <v>889</v>
      </c>
      <c r="F11" s="702"/>
      <c r="G11" s="120" t="s">
        <v>788</v>
      </c>
      <c r="H11" s="318">
        <v>45168</v>
      </c>
      <c r="I11" s="120"/>
      <c r="J11" s="120" t="s">
        <v>578</v>
      </c>
      <c r="K11" s="120"/>
    </row>
    <row r="12" spans="1:11" ht="26.1" customHeight="1">
      <c r="B12" s="10">
        <f t="shared" ref="B12:B19" si="0">B11+1</f>
        <v>3</v>
      </c>
      <c r="C12" s="605" t="s">
        <v>890</v>
      </c>
      <c r="D12" s="702"/>
      <c r="E12" s="605" t="s">
        <v>891</v>
      </c>
      <c r="F12" s="702"/>
      <c r="G12" s="120" t="s">
        <v>788</v>
      </c>
      <c r="H12" s="318">
        <v>45158</v>
      </c>
      <c r="I12" s="120" t="s">
        <v>578</v>
      </c>
      <c r="J12" s="120"/>
      <c r="K12" s="120"/>
    </row>
    <row r="13" spans="1:11" ht="26.1" customHeight="1">
      <c r="B13" s="10">
        <f t="shared" si="0"/>
        <v>4</v>
      </c>
      <c r="C13" s="605"/>
      <c r="D13" s="702"/>
      <c r="E13" s="605"/>
      <c r="F13" s="702"/>
      <c r="G13" s="120"/>
      <c r="H13" s="120"/>
      <c r="I13" s="120"/>
      <c r="J13" s="120"/>
      <c r="K13" s="120"/>
    </row>
    <row r="14" spans="1:11" ht="26.1" customHeight="1">
      <c r="B14" s="10">
        <f t="shared" si="0"/>
        <v>5</v>
      </c>
      <c r="C14" s="605"/>
      <c r="D14" s="702"/>
      <c r="E14" s="605"/>
      <c r="F14" s="702"/>
      <c r="G14" s="120"/>
      <c r="H14" s="120"/>
      <c r="I14" s="120"/>
      <c r="J14" s="120"/>
      <c r="K14" s="120"/>
    </row>
    <row r="15" spans="1:11" ht="26.1" customHeight="1">
      <c r="B15" s="10">
        <f t="shared" si="0"/>
        <v>6</v>
      </c>
      <c r="C15" s="605"/>
      <c r="D15" s="702"/>
      <c r="E15" s="605"/>
      <c r="F15" s="702"/>
      <c r="G15" s="120"/>
      <c r="H15" s="120"/>
      <c r="I15" s="120"/>
      <c r="J15" s="120"/>
      <c r="K15" s="120"/>
    </row>
    <row r="16" spans="1:11" ht="26.1" customHeight="1">
      <c r="B16" s="10">
        <f t="shared" si="0"/>
        <v>7</v>
      </c>
      <c r="C16" s="605"/>
      <c r="D16" s="702"/>
      <c r="E16" s="605"/>
      <c r="F16" s="702"/>
      <c r="G16" s="120"/>
      <c r="H16" s="120"/>
      <c r="I16" s="120"/>
      <c r="J16" s="120"/>
      <c r="K16" s="120"/>
    </row>
    <row r="17" spans="2:11" ht="26.1" customHeight="1">
      <c r="B17" s="10">
        <f t="shared" si="0"/>
        <v>8</v>
      </c>
      <c r="C17" s="605"/>
      <c r="D17" s="702"/>
      <c r="E17" s="605"/>
      <c r="F17" s="702"/>
      <c r="G17" s="120"/>
      <c r="H17" s="120"/>
      <c r="I17" s="120"/>
      <c r="J17" s="120"/>
      <c r="K17" s="120"/>
    </row>
    <row r="18" spans="2:11" ht="26.1" customHeight="1">
      <c r="B18" s="10">
        <f t="shared" si="0"/>
        <v>9</v>
      </c>
      <c r="C18" s="605"/>
      <c r="D18" s="702"/>
      <c r="E18" s="605"/>
      <c r="F18" s="702"/>
      <c r="G18" s="120"/>
      <c r="H18" s="120"/>
      <c r="I18" s="120"/>
      <c r="J18" s="120"/>
      <c r="K18" s="120"/>
    </row>
    <row r="19" spans="2:11" ht="26.1" customHeight="1">
      <c r="B19" s="10">
        <f t="shared" si="0"/>
        <v>10</v>
      </c>
      <c r="C19" s="605"/>
      <c r="D19" s="702"/>
      <c r="E19" s="605"/>
      <c r="F19" s="702"/>
      <c r="G19" s="120"/>
      <c r="H19" s="120"/>
      <c r="I19" s="120"/>
      <c r="J19" s="120"/>
      <c r="K19" s="120"/>
    </row>
  </sheetData>
  <mergeCells count="28">
    <mergeCell ref="B4:K4"/>
    <mergeCell ref="B8:B9"/>
    <mergeCell ref="C8:D8"/>
    <mergeCell ref="E8:F8"/>
    <mergeCell ref="I8:K8"/>
    <mergeCell ref="C9:D9"/>
    <mergeCell ref="E9:F9"/>
    <mergeCell ref="E10:F10"/>
    <mergeCell ref="C11:D11"/>
    <mergeCell ref="E11:F11"/>
    <mergeCell ref="C12:D12"/>
    <mergeCell ref="E12:F12"/>
    <mergeCell ref="C19:D19"/>
    <mergeCell ref="E19:F19"/>
    <mergeCell ref="D6:E6"/>
    <mergeCell ref="C16:D16"/>
    <mergeCell ref="E16:F16"/>
    <mergeCell ref="C17:D17"/>
    <mergeCell ref="E17:F17"/>
    <mergeCell ref="C18:D18"/>
    <mergeCell ref="E18:F18"/>
    <mergeCell ref="C13:D13"/>
    <mergeCell ref="E13:F13"/>
    <mergeCell ref="C14:D14"/>
    <mergeCell ref="E14:F14"/>
    <mergeCell ref="C15:D15"/>
    <mergeCell ref="E15:F15"/>
    <mergeCell ref="C10:D10"/>
  </mergeCells>
  <pageMargins left="0.7" right="0.7" top="0.78740157499999996" bottom="0.78740157499999996" header="0.3" footer="0.3"/>
  <pageSetup paperSize="9" orientation="portrait" horizontalDpi="1200" verticalDpi="12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CF1E-9678-4334-875B-4D95DCE3E721}">
  <dimension ref="B1:N31"/>
  <sheetViews>
    <sheetView showGridLines="0" showRowColHeaders="0" zoomScale="80" zoomScaleNormal="80" workbookViewId="0"/>
  </sheetViews>
  <sheetFormatPr defaultColWidth="10.85546875" defaultRowHeight="12.75"/>
  <cols>
    <col min="1" max="1" width="2" style="1" customWidth="1"/>
    <col min="2" max="2" width="3.28515625" style="1" customWidth="1"/>
    <col min="3" max="3" width="5.28515625" style="1" customWidth="1"/>
    <col min="4" max="4" width="5.5703125" style="5" customWidth="1"/>
    <col min="5" max="5" width="59.140625" style="1" customWidth="1"/>
    <col min="6" max="6" width="37.28515625" style="1" customWidth="1"/>
    <col min="7" max="8" width="9.5703125" style="1" customWidth="1"/>
    <col min="9" max="14" width="10.5703125" style="1" customWidth="1"/>
    <col min="15" max="16384" width="10.85546875" style="1"/>
  </cols>
  <sheetData>
    <row r="1" spans="2:14" ht="3.95" customHeight="1"/>
    <row r="2" spans="2:14" ht="18">
      <c r="B2" s="421" t="s">
        <v>892</v>
      </c>
      <c r="D2" s="3"/>
      <c r="E2" s="6"/>
      <c r="F2" s="6"/>
      <c r="G2" s="6"/>
      <c r="H2" s="6"/>
      <c r="I2" s="6"/>
      <c r="J2" s="6"/>
      <c r="K2" s="6"/>
      <c r="L2" s="6"/>
      <c r="M2" s="6"/>
      <c r="N2" s="6"/>
    </row>
    <row r="3" spans="2:14" ht="6.95" customHeight="1" thickBot="1"/>
    <row r="4" spans="2:14" ht="23.45" customHeight="1" thickTop="1">
      <c r="B4" s="741" t="s">
        <v>445</v>
      </c>
      <c r="C4" s="742"/>
      <c r="D4" s="742"/>
      <c r="E4" s="742"/>
      <c r="F4" s="742"/>
      <c r="G4" s="742"/>
      <c r="H4" s="742"/>
      <c r="I4" s="742"/>
      <c r="J4" s="742"/>
      <c r="K4" s="742"/>
      <c r="L4" s="742"/>
      <c r="M4" s="742"/>
      <c r="N4" s="743"/>
    </row>
    <row r="5" spans="2:14" ht="8.4499999999999993" customHeight="1">
      <c r="B5" s="201"/>
      <c r="C5" s="13"/>
      <c r="D5" s="14"/>
      <c r="E5" s="13"/>
      <c r="F5" s="13"/>
      <c r="G5" s="13"/>
      <c r="H5" s="13"/>
      <c r="I5" s="13"/>
      <c r="J5" s="13"/>
      <c r="K5" s="13"/>
      <c r="L5" s="13"/>
      <c r="M5" s="13"/>
      <c r="N5" s="202"/>
    </row>
    <row r="6" spans="2:14" ht="21" customHeight="1">
      <c r="B6" s="203"/>
      <c r="C6" s="17"/>
      <c r="D6" s="23" t="s">
        <v>343</v>
      </c>
      <c r="E6" s="412" t="s">
        <v>893</v>
      </c>
      <c r="F6" s="117"/>
      <c r="G6" s="23" t="s">
        <v>446</v>
      </c>
      <c r="H6" s="512">
        <v>44713</v>
      </c>
      <c r="I6" s="744"/>
      <c r="J6" s="17"/>
      <c r="K6" s="23" t="s">
        <v>447</v>
      </c>
      <c r="L6" s="512">
        <v>44930</v>
      </c>
      <c r="M6" s="744"/>
      <c r="N6" s="204"/>
    </row>
    <row r="7" spans="2:14" ht="6.95" customHeight="1" thickBot="1">
      <c r="B7" s="205"/>
      <c r="C7" s="206"/>
      <c r="D7" s="207"/>
      <c r="E7" s="206"/>
      <c r="F7" s="206"/>
      <c r="G7" s="206"/>
      <c r="H7" s="206"/>
      <c r="I7" s="206"/>
      <c r="J7" s="206"/>
      <c r="K7" s="206"/>
      <c r="L7" s="206"/>
      <c r="M7" s="206"/>
      <c r="N7" s="208"/>
    </row>
    <row r="8" spans="2:14" ht="21.6" customHeight="1" thickTop="1">
      <c r="B8" s="826" t="s">
        <v>448</v>
      </c>
      <c r="C8" s="827"/>
      <c r="D8" s="830" t="s">
        <v>894</v>
      </c>
      <c r="E8" s="831"/>
      <c r="F8" s="756" t="s">
        <v>895</v>
      </c>
      <c r="G8" s="757"/>
      <c r="H8" s="757"/>
      <c r="I8" s="758"/>
      <c r="J8" s="753" t="s">
        <v>896</v>
      </c>
      <c r="K8" s="754"/>
      <c r="L8" s="754"/>
      <c r="M8" s="754"/>
      <c r="N8" s="755"/>
    </row>
    <row r="9" spans="2:14" ht="20.100000000000001" customHeight="1">
      <c r="B9" s="828"/>
      <c r="C9" s="829"/>
      <c r="D9" s="832"/>
      <c r="E9" s="833"/>
      <c r="F9" s="174" t="s">
        <v>451</v>
      </c>
      <c r="G9" s="173" t="s">
        <v>452</v>
      </c>
      <c r="H9" s="173" t="s">
        <v>453</v>
      </c>
      <c r="I9" s="175" t="s">
        <v>454</v>
      </c>
      <c r="J9" s="187" t="s">
        <v>455</v>
      </c>
      <c r="K9" s="172" t="s">
        <v>103</v>
      </c>
      <c r="L9" s="172" t="s">
        <v>104</v>
      </c>
      <c r="M9" s="172" t="s">
        <v>105</v>
      </c>
      <c r="N9" s="188" t="s">
        <v>106</v>
      </c>
    </row>
    <row r="10" spans="2:14" ht="15.95" customHeight="1">
      <c r="B10" s="735">
        <v>1</v>
      </c>
      <c r="C10" s="501" t="s">
        <v>897</v>
      </c>
      <c r="D10" s="11" t="s">
        <v>460</v>
      </c>
      <c r="E10" s="214" t="s">
        <v>898</v>
      </c>
      <c r="F10" s="215" t="s">
        <v>899</v>
      </c>
      <c r="G10" s="216">
        <f>2*8*5</f>
        <v>80</v>
      </c>
      <c r="H10" s="216">
        <f>24*7</f>
        <v>168</v>
      </c>
      <c r="I10" s="217">
        <f>88/80</f>
        <v>1.1000000000000001</v>
      </c>
      <c r="J10" s="218"/>
      <c r="K10" s="219"/>
      <c r="L10" s="219"/>
      <c r="M10" s="219"/>
      <c r="N10" s="220" t="s">
        <v>578</v>
      </c>
    </row>
    <row r="11" spans="2:14" ht="15.95" customHeight="1">
      <c r="B11" s="736"/>
      <c r="C11" s="740"/>
      <c r="D11" s="11" t="s">
        <v>466</v>
      </c>
      <c r="E11" s="214" t="s">
        <v>900</v>
      </c>
      <c r="F11" s="215" t="s">
        <v>901</v>
      </c>
      <c r="G11" s="216">
        <v>12</v>
      </c>
      <c r="H11" s="216">
        <v>0</v>
      </c>
      <c r="I11" s="217">
        <v>1</v>
      </c>
      <c r="J11" s="218"/>
      <c r="K11" s="219"/>
      <c r="L11" s="219"/>
      <c r="M11" s="219"/>
      <c r="N11" s="220" t="s">
        <v>578</v>
      </c>
    </row>
    <row r="12" spans="2:14" ht="15.95" customHeight="1">
      <c r="B12" s="736"/>
      <c r="C12" s="740"/>
      <c r="D12" s="11" t="s">
        <v>475</v>
      </c>
      <c r="E12" s="214" t="s">
        <v>902</v>
      </c>
      <c r="F12" s="215" t="s">
        <v>903</v>
      </c>
      <c r="G12" s="216">
        <v>3</v>
      </c>
      <c r="H12" s="216">
        <v>3.5</v>
      </c>
      <c r="I12" s="217">
        <f>0.5/3</f>
        <v>0.16666666666666666</v>
      </c>
      <c r="J12" s="218" t="s">
        <v>578</v>
      </c>
      <c r="K12" s="219"/>
      <c r="L12" s="219"/>
      <c r="M12" s="219"/>
      <c r="N12" s="220"/>
    </row>
    <row r="13" spans="2:14" ht="15.95" customHeight="1">
      <c r="B13" s="736"/>
      <c r="C13" s="740"/>
      <c r="D13" s="11" t="s">
        <v>904</v>
      </c>
      <c r="E13" s="214" t="s">
        <v>905</v>
      </c>
      <c r="F13" s="215" t="s">
        <v>906</v>
      </c>
      <c r="G13" s="216">
        <v>80</v>
      </c>
      <c r="H13" s="216">
        <v>40</v>
      </c>
      <c r="I13" s="217">
        <f>50%</f>
        <v>0.5</v>
      </c>
      <c r="J13" s="218"/>
      <c r="K13" s="218"/>
      <c r="L13" s="219"/>
      <c r="M13" s="219" t="s">
        <v>578</v>
      </c>
      <c r="N13" s="220"/>
    </row>
    <row r="14" spans="2:14" ht="15.95" customHeight="1">
      <c r="B14" s="736"/>
      <c r="C14" s="740"/>
      <c r="D14" s="11" t="s">
        <v>907</v>
      </c>
      <c r="E14" s="214" t="s">
        <v>908</v>
      </c>
      <c r="F14" s="215" t="s">
        <v>909</v>
      </c>
      <c r="G14" s="216">
        <v>12</v>
      </c>
      <c r="H14" s="216">
        <v>9</v>
      </c>
      <c r="I14" s="217">
        <f>2/12</f>
        <v>0.16666666666666666</v>
      </c>
      <c r="J14" s="218"/>
      <c r="K14" s="219"/>
      <c r="L14" s="219" t="s">
        <v>578</v>
      </c>
      <c r="M14" s="219"/>
      <c r="N14" s="220"/>
    </row>
    <row r="15" spans="2:14" ht="15.95" customHeight="1">
      <c r="B15" s="736"/>
      <c r="C15" s="740"/>
      <c r="D15" s="11" t="s">
        <v>910</v>
      </c>
      <c r="E15" s="214" t="s">
        <v>911</v>
      </c>
      <c r="F15" s="215" t="s">
        <v>912</v>
      </c>
      <c r="G15" s="216">
        <v>2</v>
      </c>
      <c r="H15" s="216">
        <v>10</v>
      </c>
      <c r="I15" s="217">
        <f>8/2</f>
        <v>4</v>
      </c>
      <c r="J15" s="218"/>
      <c r="K15" s="219"/>
      <c r="L15" s="219"/>
      <c r="M15" s="219"/>
      <c r="N15" s="220" t="s">
        <v>578</v>
      </c>
    </row>
    <row r="16" spans="2:14" ht="15.95" customHeight="1">
      <c r="B16" s="735">
        <v>2</v>
      </c>
      <c r="C16" s="495" t="s">
        <v>913</v>
      </c>
      <c r="D16" s="11" t="s">
        <v>914</v>
      </c>
      <c r="E16" s="221" t="s">
        <v>915</v>
      </c>
      <c r="F16" s="222" t="s">
        <v>916</v>
      </c>
      <c r="G16" s="223">
        <v>170</v>
      </c>
      <c r="H16" s="223">
        <v>190</v>
      </c>
      <c r="I16" s="224">
        <f>20/170</f>
        <v>0.11764705882352941</v>
      </c>
      <c r="J16" s="225" t="s">
        <v>578</v>
      </c>
      <c r="K16" s="226"/>
      <c r="L16" s="226"/>
      <c r="M16" s="226"/>
      <c r="N16" s="227"/>
    </row>
    <row r="17" spans="2:14" ht="15.95" customHeight="1">
      <c r="B17" s="736"/>
      <c r="C17" s="738"/>
      <c r="D17" s="11" t="s">
        <v>917</v>
      </c>
      <c r="E17" s="221" t="s">
        <v>918</v>
      </c>
      <c r="F17" s="222" t="s">
        <v>919</v>
      </c>
      <c r="G17" s="223" t="s">
        <v>796</v>
      </c>
      <c r="H17" s="223" t="s">
        <v>796</v>
      </c>
      <c r="I17" s="228" t="s">
        <v>796</v>
      </c>
      <c r="J17" s="225" t="s">
        <v>578</v>
      </c>
      <c r="K17" s="226"/>
      <c r="L17" s="226"/>
      <c r="M17" s="226"/>
      <c r="N17" s="227"/>
    </row>
    <row r="18" spans="2:14" ht="15.95" customHeight="1">
      <c r="B18" s="736"/>
      <c r="C18" s="738"/>
      <c r="D18" s="11" t="s">
        <v>920</v>
      </c>
      <c r="E18" s="221" t="s">
        <v>612</v>
      </c>
      <c r="F18" s="222" t="s">
        <v>919</v>
      </c>
      <c r="G18" s="223" t="s">
        <v>796</v>
      </c>
      <c r="H18" s="223" t="s">
        <v>796</v>
      </c>
      <c r="I18" s="228" t="s">
        <v>796</v>
      </c>
      <c r="J18" s="225" t="s">
        <v>578</v>
      </c>
      <c r="K18" s="226"/>
      <c r="L18" s="226"/>
      <c r="M18" s="226"/>
      <c r="N18" s="227"/>
    </row>
    <row r="19" spans="2:14" ht="15.95" customHeight="1">
      <c r="B19" s="736"/>
      <c r="C19" s="738"/>
      <c r="D19" s="11" t="s">
        <v>921</v>
      </c>
      <c r="E19" s="221" t="s">
        <v>614</v>
      </c>
      <c r="F19" s="222" t="s">
        <v>919</v>
      </c>
      <c r="G19" s="223" t="s">
        <v>796</v>
      </c>
      <c r="H19" s="223" t="s">
        <v>796</v>
      </c>
      <c r="I19" s="228" t="s">
        <v>796</v>
      </c>
      <c r="J19" s="225" t="s">
        <v>578</v>
      </c>
      <c r="K19" s="226"/>
      <c r="L19" s="226"/>
      <c r="M19" s="226"/>
      <c r="N19" s="227"/>
    </row>
    <row r="20" spans="2:14" ht="15.95" customHeight="1">
      <c r="B20" s="736"/>
      <c r="C20" s="738"/>
      <c r="D20" s="11" t="s">
        <v>922</v>
      </c>
      <c r="E20" s="221" t="s">
        <v>616</v>
      </c>
      <c r="F20" s="222" t="s">
        <v>919</v>
      </c>
      <c r="G20" s="223" t="s">
        <v>796</v>
      </c>
      <c r="H20" s="223" t="s">
        <v>796</v>
      </c>
      <c r="I20" s="228" t="s">
        <v>796</v>
      </c>
      <c r="J20" s="225" t="s">
        <v>578</v>
      </c>
      <c r="K20" s="226"/>
      <c r="L20" s="226"/>
      <c r="M20" s="226"/>
      <c r="N20" s="227"/>
    </row>
    <row r="21" spans="2:14" ht="15.95" customHeight="1">
      <c r="B21" s="735">
        <v>3</v>
      </c>
      <c r="C21" s="488" t="s">
        <v>133</v>
      </c>
      <c r="D21" s="11" t="s">
        <v>923</v>
      </c>
      <c r="E21" s="229" t="s">
        <v>619</v>
      </c>
      <c r="F21" s="230" t="s">
        <v>924</v>
      </c>
      <c r="G21" s="231">
        <v>20</v>
      </c>
      <c r="H21" s="231">
        <v>0</v>
      </c>
      <c r="I21" s="232">
        <v>1</v>
      </c>
      <c r="J21" s="233"/>
      <c r="K21" s="234"/>
      <c r="L21" s="234"/>
      <c r="M21" s="234"/>
      <c r="N21" s="235" t="s">
        <v>578</v>
      </c>
    </row>
    <row r="22" spans="2:14" ht="15.95" customHeight="1">
      <c r="B22" s="736"/>
      <c r="C22" s="738"/>
      <c r="D22" s="11" t="s">
        <v>925</v>
      </c>
      <c r="E22" s="229" t="s">
        <v>704</v>
      </c>
      <c r="F22" s="230" t="s">
        <v>624</v>
      </c>
      <c r="G22" s="236">
        <v>4.1000000000000002E-2</v>
      </c>
      <c r="H22" s="236">
        <v>3.9E-2</v>
      </c>
      <c r="I22" s="232">
        <f>0.2/4.1</f>
        <v>4.8780487804878057E-2</v>
      </c>
      <c r="J22" s="233"/>
      <c r="K22" s="234" t="s">
        <v>578</v>
      </c>
      <c r="L22" s="234"/>
      <c r="M22" s="234"/>
      <c r="N22" s="235"/>
    </row>
    <row r="23" spans="2:14" ht="15.95" customHeight="1">
      <c r="B23" s="736"/>
      <c r="C23" s="738"/>
      <c r="D23" s="11" t="s">
        <v>926</v>
      </c>
      <c r="E23" s="229" t="s">
        <v>626</v>
      </c>
      <c r="F23" s="230" t="s">
        <v>627</v>
      </c>
      <c r="G23" s="237">
        <v>0.5</v>
      </c>
      <c r="H23" s="237">
        <v>0.8</v>
      </c>
      <c r="I23" s="232">
        <f>30/50</f>
        <v>0.6</v>
      </c>
      <c r="J23" s="233"/>
      <c r="K23" s="234"/>
      <c r="L23" s="234"/>
      <c r="M23" s="234" t="s">
        <v>578</v>
      </c>
      <c r="N23" s="235"/>
    </row>
    <row r="24" spans="2:14" ht="15.95" customHeight="1">
      <c r="B24" s="736"/>
      <c r="C24" s="738"/>
      <c r="D24" s="11" t="s">
        <v>927</v>
      </c>
      <c r="E24" s="229" t="s">
        <v>632</v>
      </c>
      <c r="F24" s="230" t="s">
        <v>919</v>
      </c>
      <c r="G24" s="231" t="s">
        <v>796</v>
      </c>
      <c r="H24" s="231" t="s">
        <v>796</v>
      </c>
      <c r="I24" s="238" t="s">
        <v>796</v>
      </c>
      <c r="J24" s="233"/>
      <c r="K24" s="234" t="s">
        <v>578</v>
      </c>
      <c r="L24" s="234"/>
      <c r="M24" s="234"/>
      <c r="N24" s="235"/>
    </row>
    <row r="25" spans="2:14" ht="15.95" customHeight="1">
      <c r="B25" s="736"/>
      <c r="C25" s="738"/>
      <c r="D25" s="11" t="s">
        <v>928</v>
      </c>
      <c r="E25" s="229" t="s">
        <v>929</v>
      </c>
      <c r="F25" s="230" t="s">
        <v>919</v>
      </c>
      <c r="G25" s="231" t="s">
        <v>796</v>
      </c>
      <c r="H25" s="231" t="s">
        <v>796</v>
      </c>
      <c r="I25" s="238" t="s">
        <v>796</v>
      </c>
      <c r="J25" s="233"/>
      <c r="K25" s="234"/>
      <c r="L25" s="234"/>
      <c r="M25" s="234" t="s">
        <v>578</v>
      </c>
      <c r="N25" s="235"/>
    </row>
    <row r="26" spans="2:14" ht="15.95" customHeight="1">
      <c r="B26" s="735">
        <v>4</v>
      </c>
      <c r="C26" s="479" t="s">
        <v>930</v>
      </c>
      <c r="D26" s="11" t="s">
        <v>931</v>
      </c>
      <c r="E26" s="239" t="s">
        <v>932</v>
      </c>
      <c r="F26" s="240" t="s">
        <v>919</v>
      </c>
      <c r="G26" s="241" t="s">
        <v>796</v>
      </c>
      <c r="H26" s="241" t="s">
        <v>796</v>
      </c>
      <c r="I26" s="242" t="s">
        <v>796</v>
      </c>
      <c r="J26" s="243"/>
      <c r="K26" s="244"/>
      <c r="L26" s="244"/>
      <c r="M26" s="244"/>
      <c r="N26" s="245" t="s">
        <v>578</v>
      </c>
    </row>
    <row r="27" spans="2:14" ht="15.95" customHeight="1">
      <c r="B27" s="736"/>
      <c r="C27" s="738"/>
      <c r="D27" s="11" t="s">
        <v>933</v>
      </c>
      <c r="E27" s="239" t="s">
        <v>934</v>
      </c>
      <c r="F27" s="240" t="s">
        <v>919</v>
      </c>
      <c r="G27" s="241" t="s">
        <v>796</v>
      </c>
      <c r="H27" s="241" t="s">
        <v>796</v>
      </c>
      <c r="I27" s="242" t="s">
        <v>796</v>
      </c>
      <c r="J27" s="243"/>
      <c r="K27" s="244"/>
      <c r="L27" s="244" t="s">
        <v>578</v>
      </c>
      <c r="M27" s="244"/>
      <c r="N27" s="245"/>
    </row>
    <row r="28" spans="2:14" ht="15.95" customHeight="1">
      <c r="B28" s="736"/>
      <c r="C28" s="738"/>
      <c r="D28" s="11" t="s">
        <v>935</v>
      </c>
      <c r="E28" s="239" t="s">
        <v>936</v>
      </c>
      <c r="F28" s="240" t="s">
        <v>646</v>
      </c>
      <c r="G28" s="241">
        <v>2</v>
      </c>
      <c r="H28" s="241">
        <v>3</v>
      </c>
      <c r="I28" s="246">
        <v>0.5</v>
      </c>
      <c r="J28" s="243"/>
      <c r="K28" s="244"/>
      <c r="L28" s="244"/>
      <c r="M28" s="244" t="s">
        <v>578</v>
      </c>
      <c r="N28" s="245"/>
    </row>
    <row r="29" spans="2:14" ht="15.95" customHeight="1">
      <c r="B29" s="736"/>
      <c r="C29" s="738"/>
      <c r="D29" s="11" t="s">
        <v>937</v>
      </c>
      <c r="E29" s="239" t="s">
        <v>938</v>
      </c>
      <c r="F29" s="240" t="s">
        <v>919</v>
      </c>
      <c r="G29" s="241" t="s">
        <v>796</v>
      </c>
      <c r="H29" s="241" t="s">
        <v>796</v>
      </c>
      <c r="I29" s="242" t="s">
        <v>796</v>
      </c>
      <c r="J29" s="243"/>
      <c r="K29" s="244"/>
      <c r="L29" s="244"/>
      <c r="M29" s="244" t="s">
        <v>578</v>
      </c>
      <c r="N29" s="245"/>
    </row>
    <row r="30" spans="2:14" ht="15.95" customHeight="1" thickBot="1">
      <c r="B30" s="737"/>
      <c r="C30" s="739"/>
      <c r="D30" s="200" t="s">
        <v>939</v>
      </c>
      <c r="E30" s="247" t="s">
        <v>940</v>
      </c>
      <c r="F30" s="248" t="s">
        <v>919</v>
      </c>
      <c r="G30" s="249" t="s">
        <v>796</v>
      </c>
      <c r="H30" s="249" t="s">
        <v>796</v>
      </c>
      <c r="I30" s="250" t="s">
        <v>796</v>
      </c>
      <c r="J30" s="251"/>
      <c r="K30" s="252" t="s">
        <v>578</v>
      </c>
      <c r="L30" s="252"/>
      <c r="M30" s="252"/>
      <c r="N30" s="253"/>
    </row>
    <row r="31" spans="2:14" ht="13.5" thickTop="1"/>
  </sheetData>
  <mergeCells count="15">
    <mergeCell ref="B4:N4"/>
    <mergeCell ref="H6:I6"/>
    <mergeCell ref="L6:M6"/>
    <mergeCell ref="B8:C9"/>
    <mergeCell ref="D8:E9"/>
    <mergeCell ref="F8:I8"/>
    <mergeCell ref="J8:N8"/>
    <mergeCell ref="B26:B30"/>
    <mergeCell ref="C26:C30"/>
    <mergeCell ref="B10:B15"/>
    <mergeCell ref="C10:C15"/>
    <mergeCell ref="B16:B20"/>
    <mergeCell ref="C16:C20"/>
    <mergeCell ref="B21:B25"/>
    <mergeCell ref="C21:C25"/>
  </mergeCells>
  <pageMargins left="0.7" right="0.7" top="0.78740157499999996" bottom="0.78740157499999996" header="0.3" footer="0.3"/>
  <pageSetup paperSize="9" orientation="portrait" horizontalDpi="1200" verticalDpi="1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59AF-C774-4A3A-9E64-6A72C5BE3EED}">
  <dimension ref="B1:T34"/>
  <sheetViews>
    <sheetView showGridLines="0" showRowColHeaders="0" topLeftCell="A2" zoomScale="80" zoomScaleNormal="80" workbookViewId="0"/>
  </sheetViews>
  <sheetFormatPr defaultColWidth="10.85546875" defaultRowHeight="12.75"/>
  <cols>
    <col min="1" max="1" width="2" style="1" customWidth="1"/>
    <col min="2" max="2" width="3.140625" style="5" customWidth="1"/>
    <col min="3" max="3" width="5" style="5" customWidth="1"/>
    <col min="4" max="4" width="14.42578125" style="1" customWidth="1"/>
    <col min="5" max="5" width="9.28515625" style="1" customWidth="1"/>
    <col min="6" max="6" width="8.5703125" style="1" customWidth="1"/>
    <col min="7" max="12" width="10.5703125" style="1" customWidth="1"/>
    <col min="13" max="13" width="10.5703125" style="5" customWidth="1"/>
    <col min="14" max="19" width="10.5703125" style="1" customWidth="1"/>
    <col min="20" max="20" width="8.42578125" style="1" customWidth="1"/>
    <col min="21" max="16384" width="10.85546875" style="1"/>
  </cols>
  <sheetData>
    <row r="1" spans="2:20" ht="5.45" hidden="1" customHeight="1">
      <c r="M1" s="1"/>
      <c r="N1" s="443"/>
      <c r="O1" s="443"/>
      <c r="P1" s="443"/>
      <c r="Q1" s="443"/>
      <c r="R1" s="443"/>
      <c r="S1" s="443"/>
      <c r="T1" s="443"/>
    </row>
    <row r="2" spans="2:20" ht="5.45" customHeight="1">
      <c r="M2" s="1"/>
      <c r="N2" s="443"/>
      <c r="O2" s="443"/>
      <c r="P2" s="443"/>
      <c r="Q2" s="443"/>
      <c r="R2" s="443"/>
      <c r="S2" s="443"/>
      <c r="T2" s="443"/>
    </row>
    <row r="3" spans="2:20" ht="18">
      <c r="B3" s="421" t="s">
        <v>941</v>
      </c>
      <c r="C3" s="421"/>
      <c r="D3" s="6"/>
      <c r="G3" s="3"/>
      <c r="H3" s="3"/>
      <c r="I3" s="3"/>
      <c r="J3" s="3"/>
      <c r="K3" s="4"/>
      <c r="L3" s="3"/>
      <c r="M3" s="4"/>
      <c r="N3" s="443"/>
      <c r="O3" s="443"/>
      <c r="P3" s="443"/>
      <c r="Q3" s="443"/>
      <c r="R3" s="443"/>
      <c r="S3" s="443"/>
      <c r="T3" s="443"/>
    </row>
    <row r="4" spans="2:20" s="8" customFormat="1" ht="8.4499999999999993" customHeight="1">
      <c r="B4" s="422"/>
      <c r="C4" s="422"/>
      <c r="D4" s="422"/>
      <c r="E4" s="1"/>
      <c r="F4" s="1"/>
      <c r="G4" s="1"/>
      <c r="H4" s="1"/>
      <c r="I4" s="1"/>
      <c r="J4" s="1"/>
      <c r="K4" s="1"/>
      <c r="L4" s="1"/>
      <c r="M4" s="1"/>
      <c r="N4" s="1"/>
      <c r="O4" s="1"/>
      <c r="P4" s="1"/>
      <c r="Q4" s="1"/>
      <c r="R4" s="1"/>
      <c r="S4" s="1"/>
      <c r="T4" s="1"/>
    </row>
    <row r="5" spans="2:20" ht="21.6" customHeight="1">
      <c r="B5" s="473" t="s">
        <v>457</v>
      </c>
      <c r="C5" s="792"/>
      <c r="D5" s="792"/>
      <c r="E5" s="792"/>
      <c r="F5" s="792"/>
      <c r="G5" s="792"/>
      <c r="H5" s="792"/>
      <c r="I5" s="792"/>
      <c r="J5" s="792"/>
      <c r="K5" s="792"/>
      <c r="L5" s="792"/>
      <c r="M5" s="792"/>
      <c r="N5" s="792"/>
      <c r="O5" s="792"/>
      <c r="P5" s="792"/>
      <c r="Q5" s="792"/>
      <c r="R5" s="792"/>
      <c r="S5" s="792"/>
      <c r="T5" s="793"/>
    </row>
    <row r="6" spans="2:20" ht="8.4499999999999993" customHeight="1">
      <c r="B6" s="26"/>
      <c r="C6" s="13"/>
      <c r="D6" s="13"/>
      <c r="E6" s="13"/>
      <c r="F6" s="13"/>
      <c r="G6" s="13"/>
      <c r="H6" s="13"/>
      <c r="I6" s="13"/>
      <c r="J6" s="13"/>
      <c r="K6" s="13"/>
      <c r="L6" s="13"/>
      <c r="M6" s="13"/>
      <c r="N6" s="13"/>
      <c r="O6" s="13"/>
      <c r="P6" s="13"/>
      <c r="Q6" s="13"/>
      <c r="R6" s="13"/>
      <c r="S6" s="13"/>
      <c r="T6" s="15"/>
    </row>
    <row r="7" spans="2:20" s="8" customFormat="1" ht="17.100000000000001" customHeight="1">
      <c r="B7" s="132"/>
      <c r="C7" s="446"/>
      <c r="D7" s="419" t="s">
        <v>45</v>
      </c>
      <c r="E7" s="565" t="s">
        <v>496</v>
      </c>
      <c r="F7" s="565"/>
      <c r="G7" s="565"/>
      <c r="H7" s="565"/>
      <c r="I7" s="565"/>
      <c r="J7" s="565"/>
      <c r="K7" s="565"/>
      <c r="L7" s="133"/>
      <c r="M7" s="446"/>
      <c r="N7" s="419" t="s">
        <v>174</v>
      </c>
      <c r="O7" s="566" t="s">
        <v>689</v>
      </c>
      <c r="P7" s="566"/>
      <c r="Q7" s="566"/>
      <c r="R7" s="566"/>
      <c r="S7" s="566"/>
      <c r="T7" s="124"/>
    </row>
    <row r="8" spans="2:20" s="8" customFormat="1" ht="7.5" customHeight="1">
      <c r="B8" s="132"/>
      <c r="C8" s="446"/>
      <c r="D8" s="419"/>
      <c r="E8" s="134"/>
      <c r="F8" s="134"/>
      <c r="G8" s="134"/>
      <c r="H8" s="134"/>
      <c r="I8" s="134"/>
      <c r="J8" s="134"/>
      <c r="K8" s="134"/>
      <c r="L8" s="133"/>
      <c r="M8" s="446"/>
      <c r="N8" s="419"/>
      <c r="O8" s="566"/>
      <c r="P8" s="566"/>
      <c r="Q8" s="566"/>
      <c r="R8" s="566"/>
      <c r="S8" s="566"/>
      <c r="T8" s="124"/>
    </row>
    <row r="9" spans="2:20" s="8" customFormat="1" ht="17.100000000000001" customHeight="1">
      <c r="B9" s="132"/>
      <c r="C9" s="446"/>
      <c r="D9" s="419" t="s">
        <v>458</v>
      </c>
      <c r="E9" s="565" t="s">
        <v>942</v>
      </c>
      <c r="F9" s="565"/>
      <c r="G9" s="565"/>
      <c r="H9" s="565"/>
      <c r="I9" s="565"/>
      <c r="J9" s="565"/>
      <c r="K9" s="565"/>
      <c r="L9" s="133"/>
      <c r="M9" s="446"/>
      <c r="N9" s="419"/>
      <c r="O9" s="566"/>
      <c r="P9" s="566"/>
      <c r="Q9" s="566"/>
      <c r="R9" s="566"/>
      <c r="S9" s="566"/>
      <c r="T9" s="124"/>
    </row>
    <row r="10" spans="2:20" ht="6.95" customHeight="1">
      <c r="B10" s="28"/>
      <c r="C10" s="20"/>
      <c r="D10" s="20"/>
      <c r="E10" s="20"/>
      <c r="F10" s="20"/>
      <c r="G10" s="20"/>
      <c r="H10" s="20"/>
      <c r="I10" s="20"/>
      <c r="J10" s="20"/>
      <c r="K10" s="20"/>
      <c r="L10" s="20"/>
      <c r="M10" s="20"/>
      <c r="N10" s="20"/>
      <c r="O10" s="20"/>
      <c r="P10" s="20"/>
      <c r="Q10" s="20"/>
      <c r="R10" s="20"/>
      <c r="S10" s="20"/>
      <c r="T10" s="22"/>
    </row>
    <row r="11" spans="2:20" ht="24" customHeight="1">
      <c r="B11" s="789" t="s">
        <v>459</v>
      </c>
      <c r="C11" s="790"/>
      <c r="D11" s="790"/>
      <c r="E11" s="790"/>
      <c r="F11" s="790"/>
      <c r="G11" s="790"/>
      <c r="H11" s="790"/>
      <c r="I11" s="790"/>
      <c r="J11" s="790"/>
      <c r="K11" s="790"/>
      <c r="L11" s="790"/>
      <c r="M11" s="790"/>
      <c r="N11" s="790"/>
      <c r="O11" s="790"/>
      <c r="P11" s="790"/>
      <c r="Q11" s="790"/>
      <c r="R11" s="790"/>
      <c r="S11" s="790"/>
      <c r="T11" s="791"/>
    </row>
    <row r="12" spans="2:20" ht="3.6" customHeight="1">
      <c r="B12" s="304"/>
      <c r="C12" s="294"/>
      <c r="D12" s="295"/>
      <c r="E12" s="295"/>
      <c r="F12" s="296"/>
      <c r="G12" s="296"/>
      <c r="H12" s="296"/>
      <c r="I12" s="440"/>
      <c r="J12" s="440"/>
      <c r="K12" s="440"/>
      <c r="L12" s="440"/>
      <c r="M12" s="292"/>
      <c r="N12" s="293"/>
      <c r="O12" s="440"/>
      <c r="P12" s="440"/>
      <c r="Q12" s="440"/>
      <c r="R12" s="440"/>
      <c r="S12" s="440"/>
      <c r="T12" s="303"/>
    </row>
    <row r="13" spans="2:20" ht="18" customHeight="1">
      <c r="B13" s="305"/>
      <c r="C13" s="297" t="s">
        <v>460</v>
      </c>
      <c r="D13" s="298" t="s">
        <v>461</v>
      </c>
      <c r="E13" s="532" t="s">
        <v>462</v>
      </c>
      <c r="F13" s="532"/>
      <c r="G13" s="361">
        <v>44896</v>
      </c>
      <c r="H13" s="446" t="s">
        <v>463</v>
      </c>
      <c r="I13" s="532" t="s">
        <v>420</v>
      </c>
      <c r="J13" s="532"/>
      <c r="K13" s="361">
        <v>45139</v>
      </c>
      <c r="L13" s="446" t="s">
        <v>463</v>
      </c>
      <c r="M13" s="532" t="s">
        <v>419</v>
      </c>
      <c r="N13" s="532"/>
      <c r="O13" s="361">
        <v>45168</v>
      </c>
      <c r="P13" s="446" t="s">
        <v>463</v>
      </c>
      <c r="Q13" s="532" t="s">
        <v>464</v>
      </c>
      <c r="R13" s="532"/>
      <c r="S13" s="362">
        <v>9</v>
      </c>
      <c r="T13" s="272" t="s">
        <v>465</v>
      </c>
    </row>
    <row r="14" spans="2:20" ht="9.9499999999999993" customHeight="1">
      <c r="B14" s="305"/>
      <c r="C14" s="297"/>
      <c r="D14" s="298"/>
      <c r="E14" s="419"/>
      <c r="F14" s="419"/>
      <c r="G14" s="296"/>
      <c r="H14" s="296"/>
      <c r="I14" s="419"/>
      <c r="J14" s="419"/>
      <c r="K14" s="296"/>
      <c r="L14" s="296"/>
      <c r="M14" s="299"/>
      <c r="N14" s="419"/>
      <c r="O14" s="296"/>
      <c r="P14" s="296"/>
      <c r="Q14" s="419"/>
      <c r="R14" s="419"/>
      <c r="S14" s="440"/>
      <c r="T14" s="303"/>
    </row>
    <row r="15" spans="2:20" ht="18" customHeight="1">
      <c r="B15" s="305"/>
      <c r="C15" s="297" t="s">
        <v>466</v>
      </c>
      <c r="D15" s="298" t="s">
        <v>467</v>
      </c>
      <c r="E15" s="532" t="s">
        <v>468</v>
      </c>
      <c r="F15" s="531"/>
      <c r="G15" s="363">
        <v>48000</v>
      </c>
      <c r="H15" s="446" t="s">
        <v>469</v>
      </c>
      <c r="I15" s="532" t="s">
        <v>470</v>
      </c>
      <c r="J15" s="532"/>
      <c r="K15" s="363">
        <v>5400</v>
      </c>
      <c r="L15" s="446" t="s">
        <v>471</v>
      </c>
      <c r="M15" s="532" t="s">
        <v>472</v>
      </c>
      <c r="N15" s="532"/>
      <c r="O15" s="363">
        <v>23000</v>
      </c>
      <c r="P15" s="446" t="s">
        <v>471</v>
      </c>
      <c r="Q15" s="532" t="s">
        <v>473</v>
      </c>
      <c r="R15" s="532"/>
      <c r="S15" s="364">
        <f>G15/(O15-K15)</f>
        <v>2.7272727272727271</v>
      </c>
      <c r="T15" s="272" t="s">
        <v>474</v>
      </c>
    </row>
    <row r="16" spans="2:20" ht="9.9499999999999993" customHeight="1">
      <c r="B16" s="305"/>
      <c r="C16" s="297"/>
      <c r="D16" s="298"/>
      <c r="E16" s="295"/>
      <c r="F16" s="296"/>
      <c r="G16" s="296"/>
      <c r="H16" s="296"/>
      <c r="I16" s="440"/>
      <c r="J16" s="440"/>
      <c r="K16" s="440"/>
      <c r="L16" s="440"/>
      <c r="M16" s="292"/>
      <c r="N16" s="293"/>
      <c r="O16" s="440"/>
      <c r="P16" s="440"/>
      <c r="Q16" s="440"/>
      <c r="R16" s="440"/>
      <c r="S16" s="440"/>
      <c r="T16" s="303"/>
    </row>
    <row r="17" spans="2:20" ht="18" customHeight="1">
      <c r="B17" s="305"/>
      <c r="C17" s="297" t="s">
        <v>475</v>
      </c>
      <c r="D17" s="298" t="s">
        <v>476</v>
      </c>
      <c r="E17" s="295"/>
      <c r="F17" s="296"/>
      <c r="G17" s="371" t="s">
        <v>477</v>
      </c>
      <c r="H17" s="365" t="s">
        <v>478</v>
      </c>
      <c r="I17" s="366">
        <v>10</v>
      </c>
      <c r="J17" s="366">
        <v>20</v>
      </c>
      <c r="K17" s="366">
        <v>30</v>
      </c>
      <c r="L17" s="366">
        <v>40</v>
      </c>
      <c r="M17" s="366">
        <v>50</v>
      </c>
      <c r="N17" s="366">
        <v>60</v>
      </c>
      <c r="O17" s="366">
        <v>70</v>
      </c>
      <c r="P17" s="366">
        <v>80</v>
      </c>
      <c r="Q17" s="300">
        <v>90</v>
      </c>
      <c r="R17" s="300">
        <v>100</v>
      </c>
      <c r="S17" s="300" t="s">
        <v>479</v>
      </c>
      <c r="T17" s="272" t="s">
        <v>480</v>
      </c>
    </row>
    <row r="18" spans="2:20" ht="9.9499999999999993" customHeight="1">
      <c r="B18" s="304"/>
      <c r="C18" s="294"/>
      <c r="D18" s="295"/>
      <c r="E18" s="295"/>
      <c r="F18" s="296"/>
      <c r="G18" s="372"/>
      <c r="H18" s="440"/>
      <c r="I18" s="440"/>
      <c r="J18" s="440"/>
      <c r="K18" s="440"/>
      <c r="L18" s="292"/>
      <c r="M18" s="293"/>
      <c r="N18" s="440"/>
      <c r="O18" s="440"/>
      <c r="P18" s="440"/>
      <c r="Q18" s="440"/>
      <c r="R18" s="440"/>
      <c r="S18" s="440"/>
      <c r="T18" s="303"/>
    </row>
    <row r="19" spans="2:20" ht="18" customHeight="1">
      <c r="B19" s="304"/>
      <c r="C19" s="294"/>
      <c r="D19" s="295"/>
      <c r="E19" s="295"/>
      <c r="F19" s="296"/>
      <c r="G19" s="371" t="s">
        <v>481</v>
      </c>
      <c r="H19" s="367" t="s">
        <v>478</v>
      </c>
      <c r="I19" s="300">
        <v>10</v>
      </c>
      <c r="J19" s="300">
        <v>20</v>
      </c>
      <c r="K19" s="300">
        <v>30</v>
      </c>
      <c r="L19" s="300">
        <v>40</v>
      </c>
      <c r="M19" s="300">
        <v>50</v>
      </c>
      <c r="N19" s="300">
        <v>60</v>
      </c>
      <c r="O19" s="300">
        <v>70</v>
      </c>
      <c r="P19" s="300">
        <v>80</v>
      </c>
      <c r="Q19" s="300">
        <v>90</v>
      </c>
      <c r="R19" s="300">
        <v>100</v>
      </c>
      <c r="S19" s="300" t="s">
        <v>479</v>
      </c>
      <c r="T19" s="272" t="s">
        <v>480</v>
      </c>
    </row>
    <row r="20" spans="2:20" ht="9.9499999999999993" customHeight="1">
      <c r="B20" s="304"/>
      <c r="C20" s="294"/>
      <c r="D20" s="295"/>
      <c r="E20" s="295"/>
      <c r="F20" s="296"/>
      <c r="G20" s="372"/>
      <c r="H20" s="440"/>
      <c r="I20" s="440"/>
      <c r="J20" s="440"/>
      <c r="K20" s="440"/>
      <c r="L20" s="292"/>
      <c r="M20" s="293"/>
      <c r="N20" s="440"/>
      <c r="O20" s="440"/>
      <c r="P20" s="440"/>
      <c r="Q20" s="440"/>
      <c r="R20" s="440"/>
      <c r="S20" s="440"/>
      <c r="T20" s="303"/>
    </row>
    <row r="21" spans="2:20" ht="18" customHeight="1">
      <c r="B21" s="304"/>
      <c r="C21" s="294"/>
      <c r="D21" s="295"/>
      <c r="E21" s="295"/>
      <c r="F21" s="296"/>
      <c r="G21" s="371" t="s">
        <v>482</v>
      </c>
      <c r="H21" s="369" t="s">
        <v>478</v>
      </c>
      <c r="I21" s="370">
        <v>10</v>
      </c>
      <c r="J21" s="370">
        <v>20</v>
      </c>
      <c r="K21" s="370">
        <v>30</v>
      </c>
      <c r="L21" s="370">
        <v>40</v>
      </c>
      <c r="M21" s="300">
        <v>50</v>
      </c>
      <c r="N21" s="300">
        <v>60</v>
      </c>
      <c r="O21" s="300">
        <v>70</v>
      </c>
      <c r="P21" s="300">
        <v>80</v>
      </c>
      <c r="Q21" s="300">
        <v>90</v>
      </c>
      <c r="R21" s="300">
        <v>100</v>
      </c>
      <c r="S21" s="300" t="s">
        <v>479</v>
      </c>
      <c r="T21" s="272" t="s">
        <v>480</v>
      </c>
    </row>
    <row r="22" spans="2:20" ht="9.9499999999999993" customHeight="1">
      <c r="B22" s="304"/>
      <c r="C22" s="294"/>
      <c r="D22" s="295"/>
      <c r="E22" s="295"/>
      <c r="F22" s="296"/>
      <c r="G22" s="372"/>
      <c r="H22" s="440"/>
      <c r="I22" s="440"/>
      <c r="J22" s="440"/>
      <c r="K22" s="440"/>
      <c r="L22" s="292"/>
      <c r="M22" s="293"/>
      <c r="N22" s="440"/>
      <c r="O22" s="440"/>
      <c r="P22" s="440"/>
      <c r="Q22" s="440"/>
      <c r="R22" s="440"/>
      <c r="S22" s="440"/>
      <c r="T22" s="303"/>
    </row>
    <row r="23" spans="2:20" ht="18" customHeight="1">
      <c r="B23" s="304"/>
      <c r="C23" s="294"/>
      <c r="D23" s="295"/>
      <c r="E23" s="295"/>
      <c r="F23" s="296"/>
      <c r="G23" s="371" t="s">
        <v>483</v>
      </c>
      <c r="H23" s="365" t="s">
        <v>478</v>
      </c>
      <c r="I23" s="366">
        <v>10</v>
      </c>
      <c r="J23" s="366">
        <v>20</v>
      </c>
      <c r="K23" s="366">
        <v>30</v>
      </c>
      <c r="L23" s="366">
        <v>40</v>
      </c>
      <c r="M23" s="366">
        <v>50</v>
      </c>
      <c r="N23" s="366">
        <v>60</v>
      </c>
      <c r="O23" s="366">
        <v>70</v>
      </c>
      <c r="P23" s="300">
        <v>80</v>
      </c>
      <c r="Q23" s="300">
        <v>90</v>
      </c>
      <c r="R23" s="300">
        <v>100</v>
      </c>
      <c r="S23" s="300" t="s">
        <v>479</v>
      </c>
      <c r="T23" s="272" t="s">
        <v>480</v>
      </c>
    </row>
    <row r="24" spans="2:20" ht="9.9499999999999993" customHeight="1">
      <c r="B24" s="304"/>
      <c r="C24" s="294"/>
      <c r="D24" s="295"/>
      <c r="E24" s="295"/>
      <c r="F24" s="296"/>
      <c r="G24" s="296"/>
      <c r="H24" s="296"/>
      <c r="I24" s="440"/>
      <c r="J24" s="440"/>
      <c r="K24" s="440"/>
      <c r="L24" s="440"/>
      <c r="M24" s="292"/>
      <c r="N24" s="293"/>
      <c r="O24" s="440"/>
      <c r="P24" s="440"/>
      <c r="Q24" s="440"/>
      <c r="R24" s="440"/>
      <c r="S24" s="440"/>
      <c r="T24" s="303"/>
    </row>
    <row r="25" spans="2:20" ht="24" customHeight="1">
      <c r="B25" s="789" t="s">
        <v>943</v>
      </c>
      <c r="C25" s="790"/>
      <c r="D25" s="790"/>
      <c r="E25" s="790"/>
      <c r="F25" s="790"/>
      <c r="G25" s="790"/>
      <c r="H25" s="790"/>
      <c r="I25" s="790"/>
      <c r="J25" s="790"/>
      <c r="K25" s="790"/>
      <c r="L25" s="790"/>
      <c r="M25" s="790"/>
      <c r="N25" s="790"/>
      <c r="O25" s="790"/>
      <c r="P25" s="790"/>
      <c r="Q25" s="790"/>
      <c r="R25" s="790"/>
      <c r="S25" s="790"/>
      <c r="T25" s="791"/>
    </row>
    <row r="26" spans="2:20" ht="6.95" customHeight="1">
      <c r="B26" s="786"/>
      <c r="C26" s="787"/>
      <c r="D26" s="766"/>
      <c r="E26" s="766"/>
      <c r="F26" s="766"/>
      <c r="G26" s="766"/>
      <c r="H26" s="766"/>
      <c r="I26" s="766"/>
      <c r="J26" s="766"/>
      <c r="K26" s="766"/>
      <c r="L26" s="766"/>
      <c r="M26" s="766"/>
      <c r="N26" s="766"/>
      <c r="O26" s="766"/>
      <c r="P26" s="766"/>
      <c r="Q26" s="766"/>
      <c r="R26" s="766"/>
      <c r="S26" s="766"/>
      <c r="T26" s="788"/>
    </row>
    <row r="27" spans="2:20" ht="18" customHeight="1">
      <c r="B27" s="302"/>
      <c r="C27" s="301" t="s">
        <v>485</v>
      </c>
      <c r="D27" s="763" t="s">
        <v>486</v>
      </c>
      <c r="E27" s="764"/>
      <c r="F27" s="764"/>
      <c r="G27" s="764"/>
      <c r="H27" s="764"/>
      <c r="I27" s="764"/>
      <c r="J27" s="532" t="s">
        <v>487</v>
      </c>
      <c r="K27" s="785"/>
      <c r="L27" s="767" t="s">
        <v>944</v>
      </c>
      <c r="M27" s="768"/>
      <c r="N27" s="768"/>
      <c r="O27" s="768"/>
      <c r="P27" s="768"/>
      <c r="Q27" s="768"/>
      <c r="R27" s="768"/>
      <c r="S27" s="769"/>
      <c r="T27" s="303"/>
    </row>
    <row r="28" spans="2:20" ht="18" customHeight="1">
      <c r="B28" s="302"/>
      <c r="C28" s="301" t="s">
        <v>485</v>
      </c>
      <c r="D28" s="763" t="s">
        <v>488</v>
      </c>
      <c r="E28" s="764"/>
      <c r="F28" s="764"/>
      <c r="G28" s="764"/>
      <c r="H28" s="764"/>
      <c r="I28" s="764"/>
      <c r="J28" s="533"/>
      <c r="K28" s="785"/>
      <c r="L28" s="770"/>
      <c r="M28" s="771"/>
      <c r="N28" s="771"/>
      <c r="O28" s="771"/>
      <c r="P28" s="771"/>
      <c r="Q28" s="771"/>
      <c r="R28" s="771"/>
      <c r="S28" s="772"/>
      <c r="T28" s="303"/>
    </row>
    <row r="29" spans="2:20" ht="18" customHeight="1">
      <c r="B29" s="302"/>
      <c r="C29" s="301" t="s">
        <v>485</v>
      </c>
      <c r="D29" s="763" t="s">
        <v>489</v>
      </c>
      <c r="E29" s="764"/>
      <c r="F29" s="764"/>
      <c r="G29" s="764"/>
      <c r="H29" s="764"/>
      <c r="I29" s="764"/>
      <c r="J29" s="533"/>
      <c r="K29" s="785"/>
      <c r="L29" s="773"/>
      <c r="M29" s="774"/>
      <c r="N29" s="774"/>
      <c r="O29" s="774"/>
      <c r="P29" s="774"/>
      <c r="Q29" s="774"/>
      <c r="R29" s="774"/>
      <c r="S29" s="775"/>
      <c r="T29" s="303"/>
    </row>
    <row r="30" spans="2:20" ht="18" customHeight="1">
      <c r="B30" s="302"/>
      <c r="C30" s="374" t="s">
        <v>578</v>
      </c>
      <c r="D30" s="373" t="s">
        <v>490</v>
      </c>
      <c r="E30" s="439"/>
      <c r="F30" s="439"/>
      <c r="G30" s="439"/>
      <c r="H30" s="439"/>
      <c r="I30" s="439"/>
      <c r="J30" s="440"/>
      <c r="K30" s="419"/>
      <c r="L30" s="765"/>
      <c r="M30" s="766"/>
      <c r="N30" s="766"/>
      <c r="O30" s="766"/>
      <c r="P30" s="765"/>
      <c r="Q30" s="766"/>
      <c r="R30" s="766"/>
      <c r="S30" s="766"/>
      <c r="T30" s="303"/>
    </row>
    <row r="31" spans="2:20" ht="18" customHeight="1">
      <c r="B31" s="302"/>
      <c r="C31" s="374" t="s">
        <v>578</v>
      </c>
      <c r="D31" s="373" t="s">
        <v>491</v>
      </c>
      <c r="E31" s="439"/>
      <c r="F31" s="439"/>
      <c r="G31" s="439"/>
      <c r="H31" s="439"/>
      <c r="I31" s="439"/>
      <c r="J31" s="532" t="s">
        <v>492</v>
      </c>
      <c r="K31" s="785"/>
      <c r="L31" s="776" t="s">
        <v>945</v>
      </c>
      <c r="M31" s="777"/>
      <c r="N31" s="777"/>
      <c r="O31" s="777"/>
      <c r="P31" s="777"/>
      <c r="Q31" s="777"/>
      <c r="R31" s="777"/>
      <c r="S31" s="778"/>
      <c r="T31" s="303"/>
    </row>
    <row r="32" spans="2:20" ht="18" customHeight="1">
      <c r="B32" s="302"/>
      <c r="C32" s="301" t="s">
        <v>485</v>
      </c>
      <c r="D32" s="763" t="s">
        <v>493</v>
      </c>
      <c r="E32" s="764"/>
      <c r="F32" s="764"/>
      <c r="G32" s="764"/>
      <c r="H32" s="764"/>
      <c r="I32" s="764"/>
      <c r="J32" s="533"/>
      <c r="K32" s="785"/>
      <c r="L32" s="779"/>
      <c r="M32" s="780"/>
      <c r="N32" s="780"/>
      <c r="O32" s="780"/>
      <c r="P32" s="780"/>
      <c r="Q32" s="780"/>
      <c r="R32" s="780"/>
      <c r="S32" s="781"/>
      <c r="T32" s="303"/>
    </row>
    <row r="33" spans="2:20" ht="18" customHeight="1">
      <c r="B33" s="302"/>
      <c r="C33" s="301" t="s">
        <v>485</v>
      </c>
      <c r="D33" s="763" t="s">
        <v>494</v>
      </c>
      <c r="E33" s="764"/>
      <c r="F33" s="764"/>
      <c r="G33" s="764"/>
      <c r="H33" s="764"/>
      <c r="I33" s="764"/>
      <c r="J33" s="533"/>
      <c r="K33" s="785"/>
      <c r="L33" s="782"/>
      <c r="M33" s="783"/>
      <c r="N33" s="783"/>
      <c r="O33" s="783"/>
      <c r="P33" s="783"/>
      <c r="Q33" s="783"/>
      <c r="R33" s="783"/>
      <c r="S33" s="784"/>
      <c r="T33" s="303"/>
    </row>
    <row r="34" spans="2:20" ht="9.9499999999999993" customHeight="1">
      <c r="B34" s="759"/>
      <c r="C34" s="760"/>
      <c r="D34" s="761"/>
      <c r="E34" s="761"/>
      <c r="F34" s="761"/>
      <c r="G34" s="761"/>
      <c r="H34" s="761"/>
      <c r="I34" s="761"/>
      <c r="J34" s="761"/>
      <c r="K34" s="761"/>
      <c r="L34" s="761"/>
      <c r="M34" s="761"/>
      <c r="N34" s="761"/>
      <c r="O34" s="761"/>
      <c r="P34" s="761"/>
      <c r="Q34" s="761"/>
      <c r="R34" s="761"/>
      <c r="S34" s="761"/>
      <c r="T34" s="762"/>
    </row>
  </sheetData>
  <mergeCells count="27">
    <mergeCell ref="E13:F13"/>
    <mergeCell ref="I13:J13"/>
    <mergeCell ref="M13:N13"/>
    <mergeCell ref="Q13:R13"/>
    <mergeCell ref="B5:T5"/>
    <mergeCell ref="E7:K7"/>
    <mergeCell ref="O7:S9"/>
    <mergeCell ref="E9:K9"/>
    <mergeCell ref="B11:T11"/>
    <mergeCell ref="L30:O30"/>
    <mergeCell ref="P30:S30"/>
    <mergeCell ref="E15:F15"/>
    <mergeCell ref="I15:J15"/>
    <mergeCell ref="M15:N15"/>
    <mergeCell ref="Q15:R15"/>
    <mergeCell ref="B25:T25"/>
    <mergeCell ref="B26:T26"/>
    <mergeCell ref="D27:I27"/>
    <mergeCell ref="J27:K29"/>
    <mergeCell ref="L27:S29"/>
    <mergeCell ref="D28:I28"/>
    <mergeCell ref="D29:I29"/>
    <mergeCell ref="J31:K33"/>
    <mergeCell ref="L31:S33"/>
    <mergeCell ref="D32:I32"/>
    <mergeCell ref="D33:I33"/>
    <mergeCell ref="B34:T34"/>
  </mergeCells>
  <pageMargins left="0.7" right="0.7" top="0.78740157499999996" bottom="0.78740157499999996"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8DA542-75AA-4451-A2F7-EC64C88F4F8E}"/>
</file>

<file path=docProps/app.xml><?xml version="1.0" encoding="utf-8"?>
<Properties xmlns="http://schemas.openxmlformats.org/officeDocument/2006/extended-properties" xmlns:vt="http://schemas.openxmlformats.org/officeDocument/2006/docPropsVTypes">
  <Application>Microsoft Excel Online</Application>
  <Manager/>
  <Company>(c) ifaa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ifaa-Arbeitshilfen KI-Projektmanagement</dc:title>
  <dc:subject>ifaa-Arbeitshilfen KI-Projektmanagement</dc:subject>
  <dc:creator>Olaf Eisele</dc:creator>
  <cp:keywords/>
  <dc:description>ifaa-Arbeitshilfen KI-Projektmanagement</dc:description>
  <cp:lastModifiedBy>Sebastian Terstegen</cp:lastModifiedBy>
  <cp:revision/>
  <dcterms:created xsi:type="dcterms:W3CDTF">2021-12-08T13:09:21Z</dcterms:created>
  <dcterms:modified xsi:type="dcterms:W3CDTF">2025-12-04T13:53:44Z</dcterms:modified>
  <cp:category>ifaa-Arbeitshilfen KI-Projektmanagement</cp:category>
  <cp:contentStatus/>
</cp:coreProperties>
</file>